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ontevirgen\Downloads\"/>
    </mc:Choice>
  </mc:AlternateContent>
  <xr:revisionPtr revIDLastSave="0" documentId="13_ncr:1_{6A41CBBD-DBCC-46F7-8852-628012B8F156}" xr6:coauthVersionLast="47" xr6:coauthVersionMax="47" xr10:uidLastSave="{00000000-0000-0000-0000-000000000000}"/>
  <bookViews>
    <workbookView xWindow="-108" yWindow="-108" windowWidth="23256" windowHeight="12456" activeTab="1" xr2:uid="{6727AF14-CEB1-41D8-BA3B-0139CCC844BD}"/>
  </bookViews>
  <sheets>
    <sheet name="Sample" sheetId="51" r:id="rId1"/>
    <sheet name="BLANK" sheetId="5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52" l="1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P4" i="52"/>
  <c r="O4" i="52"/>
  <c r="N4" i="52"/>
  <c r="M4" i="52"/>
  <c r="L4" i="52"/>
  <c r="K4" i="52"/>
  <c r="J4" i="52"/>
  <c r="I4" i="52"/>
  <c r="H4" i="52"/>
  <c r="G4" i="52"/>
  <c r="F4" i="52"/>
  <c r="E4" i="52"/>
  <c r="D45" i="51"/>
  <c r="D46" i="51"/>
  <c r="D152" i="51"/>
  <c r="D151" i="51"/>
  <c r="D150" i="51"/>
  <c r="D149" i="51"/>
  <c r="D148" i="51"/>
  <c r="D147" i="51"/>
  <c r="D146" i="51"/>
  <c r="D145" i="51"/>
  <c r="D144" i="51"/>
  <c r="D143" i="51"/>
  <c r="D142" i="51"/>
  <c r="D141" i="51"/>
  <c r="D140" i="51"/>
  <c r="D139" i="51"/>
  <c r="D138" i="51"/>
  <c r="D137" i="51"/>
  <c r="D136" i="51"/>
  <c r="D135" i="51"/>
  <c r="D134" i="51"/>
  <c r="D133" i="51"/>
  <c r="D132" i="51"/>
  <c r="D131" i="51"/>
  <c r="D130" i="51"/>
  <c r="D129" i="51"/>
  <c r="D128" i="51"/>
  <c r="D127" i="51"/>
  <c r="D126" i="51"/>
  <c r="D125" i="51"/>
  <c r="D124" i="51"/>
  <c r="D123" i="51"/>
  <c r="D122" i="51"/>
  <c r="D120" i="51"/>
  <c r="D119" i="51"/>
  <c r="D99" i="51"/>
  <c r="D98" i="51"/>
  <c r="D97" i="51"/>
  <c r="D96" i="51"/>
  <c r="D95" i="51"/>
  <c r="D94" i="51"/>
  <c r="D93" i="51"/>
  <c r="D92" i="51"/>
  <c r="D91" i="51"/>
  <c r="D90" i="51"/>
  <c r="D89" i="51"/>
  <c r="D88" i="51"/>
  <c r="D87" i="51"/>
  <c r="D86" i="51"/>
  <c r="D85" i="51"/>
  <c r="D84" i="51"/>
  <c r="D83" i="51"/>
  <c r="D82" i="51"/>
  <c r="D81" i="51"/>
  <c r="D80" i="51"/>
  <c r="D79" i="51"/>
  <c r="D78" i="51"/>
  <c r="D77" i="51"/>
  <c r="D76" i="51"/>
  <c r="D75" i="51"/>
  <c r="D74" i="51"/>
  <c r="D73" i="51"/>
  <c r="D72" i="51"/>
  <c r="D71" i="51"/>
  <c r="D70" i="51"/>
  <c r="D69" i="51"/>
  <c r="D68" i="51"/>
  <c r="D67" i="51"/>
  <c r="D66" i="51"/>
  <c r="D65" i="51"/>
  <c r="D64" i="51"/>
  <c r="D63" i="51"/>
  <c r="D62" i="51"/>
  <c r="D61" i="51"/>
  <c r="D60" i="51"/>
  <c r="D59" i="51"/>
  <c r="D56" i="51"/>
  <c r="D55" i="51"/>
  <c r="D54" i="51"/>
  <c r="D53" i="51"/>
  <c r="D52" i="51"/>
  <c r="D51" i="51"/>
  <c r="D50" i="51"/>
  <c r="D47" i="51"/>
  <c r="D44" i="51"/>
  <c r="D43" i="51"/>
  <c r="D42" i="51"/>
  <c r="D39" i="51"/>
  <c r="D38" i="51"/>
  <c r="D37" i="51"/>
  <c r="D36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3" i="51"/>
  <c r="D12" i="51"/>
  <c r="D11" i="51"/>
  <c r="D10" i="51"/>
  <c r="D9" i="51"/>
  <c r="P4" i="51"/>
  <c r="O4" i="51"/>
  <c r="N4" i="51"/>
  <c r="M4" i="51"/>
  <c r="L4" i="51"/>
  <c r="K4" i="51"/>
  <c r="J4" i="51"/>
  <c r="I4" i="51"/>
  <c r="H4" i="51"/>
  <c r="G4" i="51"/>
  <c r="F4" i="51"/>
  <c r="E4" i="51"/>
</calcChain>
</file>

<file path=xl/sharedStrings.xml><?xml version="1.0" encoding="utf-8"?>
<sst xmlns="http://schemas.openxmlformats.org/spreadsheetml/2006/main" count="408" uniqueCount="203">
  <si>
    <t>Project Status Matrix</t>
  </si>
  <si>
    <t>Status</t>
  </si>
  <si>
    <t>FTE</t>
  </si>
  <si>
    <t>Sofie</t>
  </si>
  <si>
    <t>Catherine</t>
  </si>
  <si>
    <t>Nelima</t>
  </si>
  <si>
    <t>Jessica</t>
  </si>
  <si>
    <t>Raksha</t>
  </si>
  <si>
    <t>Thoang</t>
  </si>
  <si>
    <t>Saori</t>
  </si>
  <si>
    <t>Bona</t>
  </si>
  <si>
    <t>Thuy</t>
  </si>
  <si>
    <t>Kevin</t>
  </si>
  <si>
    <t>KC</t>
  </si>
  <si>
    <t>Meetu</t>
  </si>
  <si>
    <t>Vacation/Medical/Holiday</t>
  </si>
  <si>
    <t>00120.068 Regional SE Asia Admin</t>
  </si>
  <si>
    <t>Active</t>
  </si>
  <si>
    <t xml:space="preserve">Brinda &amp; Neha-  Staffing calls + Portfolio updates
Nelima - 50 (SG) + 50 (Dubai)
Mayapada Invoices - Add Fee
</t>
  </si>
  <si>
    <t xml:space="preserve">00220.068 Regional Marketing SE Asia </t>
  </si>
  <si>
    <t xml:space="preserve">Marketing Collaterals Update - Raksha, Thoang 
Microsite Updates - Saori, Raksha, Jess
HKS 5 Nov event planning - Saori, Bona, Jess, Raksha, Sofie
PR &amp; Linkedin - Saori, Raksha
SUSS RFP - Jess, Gordon, Manon 
</t>
  </si>
  <si>
    <t>00250.068 Regional Marketing Health</t>
  </si>
  <si>
    <r>
      <rPr>
        <b/>
        <sz val="11"/>
        <color rgb="FF000000"/>
        <rFont val="Aptos Narrow"/>
        <family val="2"/>
        <scheme val="minor"/>
      </rPr>
      <t xml:space="preserve">00120.209 Regional </t>
    </r>
    <r>
      <rPr>
        <b/>
        <sz val="11"/>
        <color rgb="FF782170"/>
        <rFont val="Aptos Narrow"/>
        <family val="2"/>
        <scheme val="minor"/>
      </rPr>
      <t>Melbourne</t>
    </r>
    <r>
      <rPr>
        <b/>
        <sz val="11"/>
        <color rgb="FF000000"/>
        <rFont val="Aptos Narrow"/>
        <family val="2"/>
        <scheme val="minor"/>
      </rPr>
      <t xml:space="preserve"> Administration </t>
    </r>
  </si>
  <si>
    <r>
      <rPr>
        <b/>
        <sz val="11"/>
        <color rgb="FF000000"/>
        <rFont val="Aptos Narrow"/>
        <family val="2"/>
        <scheme val="minor"/>
      </rPr>
      <t>00220.209 Regional Marketing</t>
    </r>
    <r>
      <rPr>
        <b/>
        <sz val="11"/>
        <color rgb="FF2F75B5"/>
        <rFont val="Aptos Narrow"/>
        <family val="2"/>
        <scheme val="minor"/>
      </rPr>
      <t xml:space="preserve"> Melbourne</t>
    </r>
  </si>
  <si>
    <t>NZ RHRP D&amp;B - Michael, Joey, Jessica, Angela
Logan City Council Follow-up - Michael, Jessica
Gold Coast Hospitality Towers - Michael, Andrew
Life Science in Aus - Manon, Michael, Jess</t>
  </si>
  <si>
    <t>On Standby</t>
  </si>
  <si>
    <t>00267.068 Sector Marketing SE Asia MC</t>
  </si>
  <si>
    <t>25691.000 Stack Hayward SVY03</t>
  </si>
  <si>
    <t>25706.000 Digital Realty 1204 Alma DC</t>
  </si>
  <si>
    <t>25825.000 Ascent ATL Campus Expansion</t>
  </si>
  <si>
    <t>inactive</t>
  </si>
  <si>
    <t>25992.000 Project Inabi</t>
  </si>
  <si>
    <t>24695.009 PHX02 Edgeconnex</t>
  </si>
  <si>
    <t>25313.006 Aligned PHX07</t>
  </si>
  <si>
    <t>26633.000 IAD04</t>
  </si>
  <si>
    <t>26282.000 Project NEO</t>
  </si>
  <si>
    <t>26233.110 JAN100</t>
  </si>
  <si>
    <t>26233.120 JAN101</t>
  </si>
  <si>
    <t>26233.130 JAN102</t>
  </si>
  <si>
    <t>26233.140 JAN103</t>
  </si>
  <si>
    <t>26233.160 JAN104</t>
  </si>
  <si>
    <t>26233.150 JAN100 ACB</t>
  </si>
  <si>
    <t>26233.190 JAN105</t>
  </si>
  <si>
    <t>IFC Submission 26 Sep</t>
  </si>
  <si>
    <t>26233.200 JAN106</t>
  </si>
  <si>
    <t>26233.210 JAN107</t>
  </si>
  <si>
    <t>26233.220 JAN108</t>
  </si>
  <si>
    <t>26233.230 JAN109</t>
  </si>
  <si>
    <t>26233.240 JAN110</t>
  </si>
  <si>
    <t>26233.250 JAN111</t>
  </si>
  <si>
    <t>26233.260 JAN105 AWB</t>
  </si>
  <si>
    <t>PIF Saudi AI Competition</t>
  </si>
  <si>
    <t>Hospitality</t>
  </si>
  <si>
    <t>00151.068 Admin SE Asia Hospitality</t>
  </si>
  <si>
    <t>Jiake - Charrette</t>
  </si>
  <si>
    <t>00251.068 Regional Marketing Hospitality</t>
  </si>
  <si>
    <t xml:space="preserve">Sebana Cove, Johor – Master Plan strategic overview for presentation to Chairman 
Tourism Plan, Fiji – possible Master Plan strategic overview
HDMon Van Don Clubhouse RFP
Diriyah Wadi
Arts+IT City Hanoi 
Hospitality Microsites - Saori
Global India proposals - Jess, Thoang
CTI Vegacity - Thuy, Jess
</t>
  </si>
  <si>
    <t>60068.000 U Bo Peak</t>
  </si>
  <si>
    <t>60070.000 Sun Agribank Tower</t>
  </si>
  <si>
    <t>to close signed agreement</t>
  </si>
  <si>
    <t>40256.999_Al Dhannah Masterplan</t>
  </si>
  <si>
    <t>Life Science</t>
  </si>
  <si>
    <t>00175.068 Admin SE Asia Life Science</t>
  </si>
  <si>
    <t>Lab Asia
Tina-ISPE</t>
  </si>
  <si>
    <t>00275.068 Regional Marketing Life Science</t>
  </si>
  <si>
    <t>Microsite for Life Science - Saori, Manon</t>
  </si>
  <si>
    <t>60058.000 STA</t>
  </si>
  <si>
    <t>NEED RENDERING FOR THIS WEEK (6-7 views :HPLC, common corr, trouble shooting)</t>
  </si>
  <si>
    <t>60059.000 NUS SRB</t>
  </si>
  <si>
    <t>NEED RENDERING for following week</t>
  </si>
  <si>
    <t>40245.996 Abu Dhabi Plant Tissue Lab</t>
  </si>
  <si>
    <t>60063.000 A*Star Biomed</t>
  </si>
  <si>
    <t xml:space="preserve">60071.000 HTX Forensic Lab </t>
  </si>
  <si>
    <t>Active Projects</t>
  </si>
  <si>
    <t xml:space="preserve">00254.068 Sector Marketing SE Asia Education </t>
  </si>
  <si>
    <t>00252.068 Sector Marketing SE Asia Sports</t>
  </si>
  <si>
    <t xml:space="preserve">60028.000 Healthway Day Surgery Center </t>
  </si>
  <si>
    <t>60160.000 Changi General Hospital Remodel</t>
  </si>
  <si>
    <t>60040.000 CGH Remodelling - Variation Studies</t>
  </si>
  <si>
    <t>60055.000 Tan Tock Seng Ambulatory</t>
  </si>
  <si>
    <t>Subconsultancy Agreement - Jess, David
HKS ID Scope &amp; Fee with CIAP - Jess, David</t>
  </si>
  <si>
    <t>60054.000 NUHR Phase 1</t>
  </si>
  <si>
    <t>60212.000 Eastern General Hospital</t>
  </si>
  <si>
    <t>Post tender comments (UGM)</t>
  </si>
  <si>
    <t xml:space="preserve">40158.000 MoH Hospital Projects </t>
  </si>
  <si>
    <t>40176.000  Al Abnaa Office</t>
  </si>
  <si>
    <t>40182.000  FAKEEH Medical hospital in Ubhor Jeddah</t>
  </si>
  <si>
    <t>handover</t>
  </si>
  <si>
    <t>60046.000 Mayapada Apollo Batam Int'l Hospital</t>
  </si>
  <si>
    <t>Layouts finalized 30 Sept</t>
  </si>
  <si>
    <t>60037.000 HBCHRC ( ICICI Tata)</t>
  </si>
  <si>
    <t>60043.000 KKIP Masterplan</t>
  </si>
  <si>
    <r>
      <rPr>
        <b/>
        <sz val="11"/>
        <color rgb="FFFF0000"/>
        <rFont val="Aptos Narrow"/>
        <family val="2"/>
        <scheme val="minor"/>
      </rPr>
      <t>60043.000</t>
    </r>
    <r>
      <rPr>
        <b/>
        <sz val="11"/>
        <rFont val="Aptos Narrow"/>
        <family val="2"/>
        <scheme val="minor"/>
      </rPr>
      <t xml:space="preserve"> KKIP - Development Masterplan &amp; Renders</t>
    </r>
  </si>
  <si>
    <t xml:space="preserve">60048.003 Reliance Interior renovation- med planning </t>
  </si>
  <si>
    <t>60048.002 Reliance Interior renovation- interiors (mood boards)</t>
  </si>
  <si>
    <t xml:space="preserve">60051.000 Queensway Node </t>
  </si>
  <si>
    <t>Invoicing</t>
  </si>
  <si>
    <t>60065.000 Expedia India</t>
  </si>
  <si>
    <t>DD Stage submission 03 Oct</t>
  </si>
  <si>
    <t>40186.000 Novacare Hospital Islamabad</t>
  </si>
  <si>
    <t>ID Comments, Additional Fees Addendum and Invoice Follow Up</t>
  </si>
  <si>
    <t>60230.001 Apollo Chennai Hospital Concept Planning - Add Service - Shelved</t>
  </si>
  <si>
    <t xml:space="preserve">Payment follow up </t>
  </si>
  <si>
    <t>25705.000 UC Davis Health Design (California - Health Interiors)</t>
  </si>
  <si>
    <t>Gold Coast Convention Center</t>
  </si>
  <si>
    <t>60155.000 Riphah Islamabad Hospital</t>
  </si>
  <si>
    <t xml:space="preserve">Client rep requested for meetings to resume work </t>
  </si>
  <si>
    <t>40236.000 LAU Masterplan Visioning</t>
  </si>
  <si>
    <t>40209.000 KCH Casablanca Morroco</t>
  </si>
  <si>
    <t>40246.000 Prince MBS Center for Autism</t>
  </si>
  <si>
    <t>60060.000 Reliance Hospital, Jamnagar</t>
  </si>
  <si>
    <t>60053.000 Reliance Hospital, RCP, Navi Mumbai</t>
  </si>
  <si>
    <t>60064.000 Reliance Kanchangauri - Neuro Ortho</t>
  </si>
  <si>
    <t>60034.000 Adani Medicity interior design</t>
  </si>
  <si>
    <t>60066.000 RSPI Expansion Tower Jakarta</t>
  </si>
  <si>
    <t>40201.000 CCAD CARBON ION DESIGN</t>
  </si>
  <si>
    <t>27268.000 Mayo Clinic Arizona</t>
  </si>
  <si>
    <t>40253.000 Peninsula Medical Center Peer Review</t>
  </si>
  <si>
    <t>40252.000 Bedfordview Day Hospital</t>
  </si>
  <si>
    <t>40258.000 Al Shifa Eye Centre</t>
  </si>
  <si>
    <t>GROUNDBREAKING 20 OCTOBER</t>
  </si>
  <si>
    <t>40239.000 Al Murjan Healthcare Masterplan in Jeddah</t>
  </si>
  <si>
    <t>Masterplan Package due December</t>
  </si>
  <si>
    <t>60069.000 NHCI_DATSAS Multispecialty Hospital Nagpur</t>
  </si>
  <si>
    <t>40218.000_Qatar College of Dental and Nursing</t>
  </si>
  <si>
    <t>AIA Hong Kong Park</t>
  </si>
  <si>
    <r>
      <t xml:space="preserve">ACTIVE PURSUITS - WILL CHARGE HOURS TO </t>
    </r>
    <r>
      <rPr>
        <b/>
        <sz val="11"/>
        <color rgb="FFFF0000"/>
        <rFont val="Aptos Narrow"/>
        <family val="2"/>
        <scheme val="minor"/>
      </rPr>
      <t>(NEED TO UPDATE)</t>
    </r>
  </si>
  <si>
    <t xml:space="preserve">40144.996 King College Hospital - Cairo, Egypt </t>
  </si>
  <si>
    <t xml:space="preserve">40148.999 Libya American Medical City </t>
  </si>
  <si>
    <t>MSE New Office</t>
  </si>
  <si>
    <t>Jakarta Waterfront</t>
  </si>
  <si>
    <t>60220.999 US Bangla Hospital</t>
  </si>
  <si>
    <t>40130.996 MedTech Medical City (RIVA)</t>
  </si>
  <si>
    <t xml:space="preserve">00274.010 Jakarta Senior Living </t>
  </si>
  <si>
    <t>60222.999 Hyderabad Hospital with Integrated Medical College</t>
  </si>
  <si>
    <t xml:space="preserve">90273.996 Fujian Anta Hemin Hospital (Competition) </t>
  </si>
  <si>
    <t>60224.999 Ranna Resorts in Sri Lanka</t>
  </si>
  <si>
    <t>60225.999 Lahore CBD Master plan</t>
  </si>
  <si>
    <t>Lahore Block 3 CBD</t>
  </si>
  <si>
    <t>40139.996 Rawasi Jabal Omar</t>
  </si>
  <si>
    <t>EGYPT hospital (university hospital 200 beds)</t>
  </si>
  <si>
    <t>EGYPT hospital (350 beds) - CAIRO</t>
  </si>
  <si>
    <t>60229.999 Petra University Faculty of Medicine</t>
  </si>
  <si>
    <t>00120.068 Cambodia</t>
  </si>
  <si>
    <t>on Standby</t>
  </si>
  <si>
    <t>60039.999 Amman Design Management</t>
  </si>
  <si>
    <t>60038.999 KSB Wave Pool Complex</t>
  </si>
  <si>
    <t xml:space="preserve">63004.996 Parkville Hospital </t>
  </si>
  <si>
    <t>60056.999 Kallang Alive Indoor Arena</t>
  </si>
  <si>
    <t>Tender Closing 21 November; London team visiting Singapore 6-10 Oct</t>
  </si>
  <si>
    <t>60049.999 KCH New Delhi</t>
  </si>
  <si>
    <t>40220.996 KCH Dubai Phase II RFP</t>
  </si>
  <si>
    <t>Waiting for final results</t>
  </si>
  <si>
    <t>40231.996 Tabuk Airport</t>
  </si>
  <si>
    <t>40232.996 American Hospital Science Park</t>
  </si>
  <si>
    <t>Abu Dhabi Stem Cell Center</t>
  </si>
  <si>
    <t>40235.996 200 Bed DOC Medical Center - Addis Ababa (Ortho)</t>
  </si>
  <si>
    <t xml:space="preserve">40234.996 Dubai Festival City HealthHub Hospital </t>
  </si>
  <si>
    <t>40215.996 New Renal Hospital, Oman</t>
  </si>
  <si>
    <t>submitted</t>
  </si>
  <si>
    <t>40214.996 King Saud Medical City</t>
  </si>
  <si>
    <t>40216.996 Renovation &amp;  Expansion Construction  Works at Tawam Hospital</t>
  </si>
  <si>
    <t xml:space="preserve">40174.996 Alameda Cleveland Clinic Hospital </t>
  </si>
  <si>
    <t>40217.996 Al Duqm Hospital Oman</t>
  </si>
  <si>
    <t xml:space="preserve">40219.996 Royal Hospital Oman </t>
  </si>
  <si>
    <t xml:space="preserve">40222.996 NHDD -Cardiac Hospital </t>
  </si>
  <si>
    <t>40221.996 DHCC Hospital</t>
  </si>
  <si>
    <t>40224.996 Al Seeb Hospital at Sultan Haitham City</t>
  </si>
  <si>
    <t>40223.996 Education City Stadium Legacy Design, Doha</t>
  </si>
  <si>
    <t xml:space="preserve">40225.996 Facility Facelift Enhancement Projects </t>
  </si>
  <si>
    <t xml:space="preserve">40227.996 TSEMEX Hospital </t>
  </si>
  <si>
    <t xml:space="preserve">40226.996 Moorefield Eye Hospital </t>
  </si>
  <si>
    <t xml:space="preserve">40229.996 Qiddiya IHN </t>
  </si>
  <si>
    <t>Proposal Submitted</t>
  </si>
  <si>
    <t>60057.999 UWCSEA Tengah Campus</t>
  </si>
  <si>
    <t>40237.996  National rehab and Wellness Oman</t>
  </si>
  <si>
    <t xml:space="preserve">40238.996 Dao Ben Ghayadh </t>
  </si>
  <si>
    <t>27219.996  Chennai  Hackathon</t>
  </si>
  <si>
    <t xml:space="preserve">40240.996 SAMI Masterplan and Architecture, KSA </t>
  </si>
  <si>
    <t>40241.996 MODON Masteplan</t>
  </si>
  <si>
    <t>45001.996 Dalma Island Hospital - Abu Dhabi</t>
  </si>
  <si>
    <t>PROJECTS</t>
  </si>
  <si>
    <t>Not Yet Started</t>
  </si>
  <si>
    <t>Hold</t>
  </si>
  <si>
    <t>Cancelled</t>
  </si>
  <si>
    <t>Completed</t>
  </si>
  <si>
    <t>Not Awarded</t>
  </si>
  <si>
    <t xml:space="preserve">SD stage- workshop on 30 Oct ,31 October, 1st november </t>
  </si>
  <si>
    <t>Model Handover for DD + Animation (VO-3)</t>
  </si>
  <si>
    <t xml:space="preserve">Portfolio Setup, BIM contract finalisation
</t>
  </si>
  <si>
    <t>Hanoi Sports Stadium RFP from T&amp;T</t>
  </si>
  <si>
    <t xml:space="preserve">Yuning - Maternity Leave  till 17 Oct
Phoo Remote Work in Indonesia - 29 Sep to 15 Oct
Li Ji - Remote Work -06 Oct to 10 Oct
Kay &amp; Arghya - 6 Oct
</t>
  </si>
  <si>
    <t xml:space="preserve">
Aus Presentation Deck (for Angela) - Saori
Follow up on Proposals 
Update Interview/ Presentation templates - Raksha</t>
  </si>
  <si>
    <t>60072 Banyan Tree Manila - Design Review</t>
  </si>
  <si>
    <t>Workshop 8 Oct</t>
  </si>
  <si>
    <t xml:space="preserve">OUD Al Nakheel Residential Development </t>
  </si>
  <si>
    <t xml:space="preserve">Law - Reservist (06 -17 Oct)
Christina - 06 Oct (AM)
Sushi - 07 Oct 
Cath - 09 - 10 Oct (Course)
Raksha - 9 Oct (off in-lieu)
Phoo - 06 Oct (MC)
Meetu - 08 Oct (PM)
</t>
  </si>
  <si>
    <t xml:space="preserve">WEEKLY STAFFING </t>
  </si>
  <si>
    <t>PROJECT NAME</t>
  </si>
  <si>
    <t>UTILIZATION</t>
  </si>
  <si>
    <t>Architecture Department</t>
  </si>
  <si>
    <t>CODE</t>
  </si>
  <si>
    <t xml:space="preserve">Remarks / Notes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</si>
</sst>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FF0000"/>
      <name val="Calibri"/>
      <family val="2"/>
    </font>
    <font>
      <b/>
      <sz val="11"/>
      <color rgb="FF002060"/>
      <name val="Calibri"/>
      <family val="2"/>
    </font>
    <font>
      <b/>
      <sz val="1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404040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 tint="0.249977111117893"/>
      <name val="Calibri"/>
      <family val="2"/>
    </font>
    <font>
      <b/>
      <sz val="11"/>
      <color rgb="FF2F75B5"/>
      <name val="Aptos Narrow"/>
      <family val="2"/>
      <scheme val="minor"/>
    </font>
    <font>
      <b/>
      <sz val="10"/>
      <color rgb="FFFF0000"/>
      <name val="Aptos Narrow"/>
      <family val="2"/>
    </font>
    <font>
      <b/>
      <sz val="10"/>
      <name val="Calibri"/>
      <family val="2"/>
    </font>
    <font>
      <b/>
      <sz val="11"/>
      <color rgb="FF782170"/>
      <name val="Aptos Narrow"/>
      <family val="2"/>
      <scheme val="minor"/>
    </font>
    <font>
      <b/>
      <sz val="10"/>
      <name val="Calibri"/>
    </font>
    <font>
      <b/>
      <sz val="20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6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0" borderId="6" xfId="0" applyFont="1" applyBorder="1" applyAlignment="1">
      <alignment horizontal="center" vertical="center" textRotation="90"/>
    </xf>
    <xf numFmtId="0" fontId="8" fillId="0" borderId="7" xfId="0" applyFont="1" applyBorder="1" applyAlignment="1">
      <alignment vertical="top" wrapText="1"/>
    </xf>
    <xf numFmtId="0" fontId="5" fillId="3" borderId="8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  <xf numFmtId="9" fontId="4" fillId="4" borderId="9" xfId="1" applyFont="1" applyFill="1" applyBorder="1" applyAlignment="1">
      <alignment horizontal="center" vertical="top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9" fontId="5" fillId="0" borderId="14" xfId="1" applyFont="1" applyBorder="1" applyAlignment="1">
      <alignment horizontal="center" vertical="top"/>
    </xf>
    <xf numFmtId="9" fontId="5" fillId="0" borderId="9" xfId="1" applyFont="1" applyBorder="1" applyAlignment="1">
      <alignment horizontal="center" vertical="top"/>
    </xf>
    <xf numFmtId="0" fontId="10" fillId="0" borderId="15" xfId="0" applyFont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5" borderId="12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top" wrapText="1"/>
    </xf>
    <xf numFmtId="9" fontId="4" fillId="5" borderId="9" xfId="1" applyFont="1" applyFill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/>
    </xf>
    <xf numFmtId="0" fontId="11" fillId="0" borderId="10" xfId="0" applyFont="1" applyBorder="1" applyAlignment="1">
      <alignment vertical="top" wrapText="1"/>
    </xf>
    <xf numFmtId="0" fontId="2" fillId="6" borderId="11" xfId="0" applyFont="1" applyFill="1" applyBorder="1" applyAlignment="1">
      <alignment vertical="top" wrapText="1"/>
    </xf>
    <xf numFmtId="0" fontId="4" fillId="6" borderId="12" xfId="0" applyFont="1" applyFill="1" applyBorder="1" applyAlignment="1">
      <alignment horizontal="center" vertical="top"/>
    </xf>
    <xf numFmtId="0" fontId="4" fillId="6" borderId="16" xfId="0" applyFont="1" applyFill="1" applyBorder="1" applyAlignment="1">
      <alignment horizontal="center" vertical="top"/>
    </xf>
    <xf numFmtId="9" fontId="5" fillId="6" borderId="9" xfId="1" applyFont="1" applyFill="1" applyBorder="1" applyAlignment="1">
      <alignment horizontal="center" vertical="top"/>
    </xf>
    <xf numFmtId="0" fontId="11" fillId="6" borderId="10" xfId="0" applyFont="1" applyFill="1" applyBorder="1" applyAlignment="1">
      <alignment vertical="top" wrapText="1"/>
    </xf>
    <xf numFmtId="0" fontId="4" fillId="0" borderId="11" xfId="0" applyFont="1" applyBorder="1" applyAlignment="1">
      <alignment horizontal="left" vertical="top" wrapText="1"/>
    </xf>
    <xf numFmtId="2" fontId="4" fillId="0" borderId="16" xfId="0" applyNumberFormat="1" applyFont="1" applyBorder="1" applyAlignment="1">
      <alignment horizontal="center" vertical="top"/>
    </xf>
    <xf numFmtId="9" fontId="4" fillId="0" borderId="9" xfId="1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9" fontId="14" fillId="0" borderId="16" xfId="1" applyFont="1" applyFill="1" applyBorder="1" applyAlignment="1">
      <alignment vertical="top" wrapText="1"/>
    </xf>
    <xf numFmtId="9" fontId="14" fillId="0" borderId="16" xfId="1" applyFont="1" applyBorder="1" applyAlignment="1">
      <alignment vertical="top" wrapText="1"/>
    </xf>
    <xf numFmtId="9" fontId="9" fillId="0" borderId="16" xfId="1" applyFont="1" applyBorder="1" applyAlignment="1">
      <alignment vertical="top" wrapText="1"/>
    </xf>
    <xf numFmtId="0" fontId="9" fillId="7" borderId="17" xfId="0" applyFont="1" applyFill="1" applyBorder="1" applyAlignment="1">
      <alignment vertical="top" wrapText="1"/>
    </xf>
    <xf numFmtId="0" fontId="14" fillId="0" borderId="16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4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0" fontId="9" fillId="8" borderId="17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5" fillId="0" borderId="16" xfId="0" applyFont="1" applyBorder="1" applyAlignment="1">
      <alignment vertical="top" wrapText="1"/>
    </xf>
    <xf numFmtId="9" fontId="14" fillId="0" borderId="17" xfId="1" applyFont="1" applyBorder="1" applyAlignment="1">
      <alignment vertical="top" wrapText="1"/>
    </xf>
    <xf numFmtId="9" fontId="16" fillId="0" borderId="9" xfId="1" applyFont="1" applyBorder="1" applyAlignment="1">
      <alignment horizontal="center" vertical="top"/>
    </xf>
    <xf numFmtId="9" fontId="16" fillId="0" borderId="0" xfId="1" applyFont="1" applyAlignment="1">
      <alignment vertical="top"/>
    </xf>
    <xf numFmtId="9" fontId="16" fillId="0" borderId="18" xfId="1" applyFont="1" applyBorder="1" applyAlignment="1">
      <alignment vertical="top"/>
    </xf>
    <xf numFmtId="0" fontId="9" fillId="8" borderId="16" xfId="0" applyFont="1" applyFill="1" applyBorder="1" applyAlignment="1">
      <alignment vertical="top" wrapText="1"/>
    </xf>
    <xf numFmtId="9" fontId="9" fillId="0" borderId="16" xfId="1" applyFont="1" applyFill="1" applyBorder="1" applyAlignment="1">
      <alignment vertical="top" wrapText="1"/>
    </xf>
    <xf numFmtId="0" fontId="4" fillId="0" borderId="19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6" fillId="0" borderId="10" xfId="0" applyFont="1" applyBorder="1" applyAlignment="1">
      <alignment vertical="top" wrapText="1"/>
    </xf>
    <xf numFmtId="9" fontId="14" fillId="7" borderId="16" xfId="1" applyFont="1" applyFill="1" applyBorder="1" applyAlignment="1">
      <alignment vertical="top" wrapText="1"/>
    </xf>
    <xf numFmtId="9" fontId="14" fillId="8" borderId="16" xfId="1" applyFont="1" applyFill="1" applyBorder="1" applyAlignment="1">
      <alignment vertical="top" wrapText="1"/>
    </xf>
    <xf numFmtId="9" fontId="14" fillId="0" borderId="9" xfId="1" applyFont="1" applyBorder="1" applyAlignment="1">
      <alignment vertical="top" wrapText="1"/>
    </xf>
    <xf numFmtId="0" fontId="15" fillId="8" borderId="16" xfId="0" applyFont="1" applyFill="1" applyBorder="1" applyAlignment="1">
      <alignment vertical="top" wrapText="1"/>
    </xf>
    <xf numFmtId="0" fontId="15" fillId="8" borderId="17" xfId="0" applyFont="1" applyFill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9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9" fillId="0" borderId="2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7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5" fillId="9" borderId="0" xfId="0" applyFont="1" applyFill="1" applyAlignment="1">
      <alignment horizontal="center" vertical="top"/>
    </xf>
    <xf numFmtId="0" fontId="5" fillId="10" borderId="0" xfId="0" applyFont="1" applyFill="1" applyAlignment="1">
      <alignment horizontal="center" vertical="top"/>
    </xf>
    <xf numFmtId="0" fontId="5" fillId="11" borderId="0" xfId="0" applyFont="1" applyFill="1" applyAlignment="1">
      <alignment horizontal="center" vertical="top"/>
    </xf>
    <xf numFmtId="0" fontId="5" fillId="12" borderId="0" xfId="0" applyFont="1" applyFill="1" applyAlignment="1">
      <alignment horizontal="center" vertical="top"/>
    </xf>
    <xf numFmtId="0" fontId="0" fillId="0" borderId="0" xfId="0" applyAlignment="1">
      <alignment horizontal="right" vertical="top" wrapText="1"/>
    </xf>
    <xf numFmtId="0" fontId="0" fillId="13" borderId="0" xfId="0" applyFill="1" applyAlignment="1">
      <alignment horizontal="center" vertical="top"/>
    </xf>
    <xf numFmtId="0" fontId="18" fillId="14" borderId="0" xfId="0" applyFont="1" applyFill="1" applyAlignment="1">
      <alignment horizontal="center" vertical="top"/>
    </xf>
    <xf numFmtId="0" fontId="19" fillId="15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4" fillId="8" borderId="17" xfId="0" applyFont="1" applyFill="1" applyBorder="1" applyAlignment="1">
      <alignment vertical="top" wrapText="1"/>
    </xf>
    <xf numFmtId="0" fontId="14" fillId="0" borderId="17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9" fillId="0" borderId="17" xfId="0" applyFont="1" applyBorder="1" applyAlignment="1">
      <alignment horizontal="left" vertical="top" wrapText="1"/>
    </xf>
    <xf numFmtId="0" fontId="20" fillId="0" borderId="21" xfId="0" applyFont="1" applyBorder="1" applyAlignment="1">
      <alignment vertical="top" wrapText="1"/>
    </xf>
    <xf numFmtId="0" fontId="14" fillId="0" borderId="17" xfId="0" quotePrefix="1" applyFont="1" applyBorder="1" applyAlignment="1">
      <alignment vertical="top" wrapText="1"/>
    </xf>
    <xf numFmtId="0" fontId="11" fillId="0" borderId="21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9" fontId="5" fillId="0" borderId="9" xfId="1" applyFont="1" applyFill="1" applyBorder="1" applyAlignment="1">
      <alignment horizontal="center" vertical="top"/>
    </xf>
    <xf numFmtId="0" fontId="14" fillId="0" borderId="11" xfId="0" applyFont="1" applyBorder="1" applyAlignment="1">
      <alignment vertical="top" wrapText="1"/>
    </xf>
    <xf numFmtId="0" fontId="0" fillId="0" borderId="22" xfId="0" applyBorder="1" applyAlignment="1">
      <alignment vertical="top"/>
    </xf>
    <xf numFmtId="0" fontId="9" fillId="0" borderId="17" xfId="0" quotePrefix="1" applyFont="1" applyBorder="1" applyAlignment="1">
      <alignment vertical="top" wrapText="1"/>
    </xf>
    <xf numFmtId="16" fontId="11" fillId="0" borderId="10" xfId="0" applyNumberFormat="1" applyFont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9" fontId="11" fillId="0" borderId="10" xfId="0" applyNumberFormat="1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23" fillId="0" borderId="10" xfId="0" applyFont="1" applyBorder="1" applyAlignment="1">
      <alignment vertical="top" wrapText="1"/>
    </xf>
    <xf numFmtId="0" fontId="9" fillId="0" borderId="1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5" fillId="0" borderId="17" xfId="0" applyFont="1" applyBorder="1" applyAlignment="1">
      <alignment vertical="top" wrapText="1"/>
    </xf>
    <xf numFmtId="0" fontId="12" fillId="0" borderId="10" xfId="0" applyFont="1" applyBorder="1" applyAlignment="1">
      <alignment wrapText="1"/>
    </xf>
    <xf numFmtId="0" fontId="23" fillId="0" borderId="21" xfId="0" applyFont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22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4" fillId="0" borderId="17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4" fillId="3" borderId="8" xfId="0" applyFont="1" applyFill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3" fillId="0" borderId="0" xfId="0" applyFont="1" applyAlignment="1">
      <alignment vertical="top"/>
    </xf>
    <xf numFmtId="0" fontId="5" fillId="16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top"/>
    </xf>
  </cellXfs>
  <cellStyles count="2">
    <cellStyle name="Normal" xfId="0" builtinId="0"/>
    <cellStyle name="Percent" xfId="1" builtinId="5"/>
  </cellStyles>
  <dxfs count="77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E74D-7C5A-44EC-8C9C-473E72F91C55}">
  <dimension ref="A1:R166"/>
  <sheetViews>
    <sheetView topLeftCell="A2" zoomScale="70" zoomScaleNormal="70" workbookViewId="0">
      <pane xSplit="4" ySplit="3" topLeftCell="E10" activePane="bottomRight" state="frozen"/>
      <selection pane="topRight" activeCell="D2" sqref="D2"/>
      <selection pane="bottomLeft" activeCell="A5" sqref="A5"/>
      <selection pane="bottomRight" activeCell="R36" sqref="R36"/>
    </sheetView>
  </sheetViews>
  <sheetFormatPr defaultColWidth="8.44140625" defaultRowHeight="14.4" x14ac:dyDescent="0.3"/>
  <cols>
    <col min="1" max="1" width="8.44140625" style="3"/>
    <col min="2" max="2" width="46.44140625" style="81" customWidth="1"/>
    <col min="3" max="3" width="14.6640625" style="48" customWidth="1"/>
    <col min="4" max="4" width="7.44140625" style="48" customWidth="1"/>
    <col min="5" max="5" width="6.44140625" style="48" customWidth="1"/>
    <col min="6" max="6" width="6.5546875" style="48" customWidth="1"/>
    <col min="7" max="15" width="6.44140625" style="48" customWidth="1"/>
    <col min="16" max="16" width="6" style="48" customWidth="1"/>
    <col min="17" max="17" width="2.5546875" style="3" customWidth="1"/>
    <col min="18" max="18" width="66.44140625" style="3" customWidth="1"/>
    <col min="19" max="16384" width="8.44140625" style="3"/>
  </cols>
  <sheetData>
    <row r="1" spans="1:18" ht="15" thickBo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4"/>
    </row>
    <row r="2" spans="1:18" ht="26.4" thickBot="1" x14ac:dyDescent="0.35">
      <c r="B2" s="108" t="s">
        <v>197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5"/>
    </row>
    <row r="3" spans="1:18" ht="57" customHeight="1" thickBot="1" x14ac:dyDescent="0.35">
      <c r="B3" s="6"/>
      <c r="C3" s="7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R3" s="10" t="s">
        <v>202</v>
      </c>
    </row>
    <row r="4" spans="1:18" ht="23.4" customHeight="1" x14ac:dyDescent="0.3">
      <c r="B4" s="109" t="s">
        <v>199</v>
      </c>
      <c r="C4" s="11"/>
      <c r="D4" s="12"/>
      <c r="E4" s="13">
        <f>SUM(E5:E154)</f>
        <v>1</v>
      </c>
      <c r="F4" s="13">
        <f>SUM(F5:F154)</f>
        <v>0.6</v>
      </c>
      <c r="G4" s="13">
        <f>SUM(G5:G154)</f>
        <v>1</v>
      </c>
      <c r="H4" s="13">
        <f>SUM(H5:H154)</f>
        <v>1</v>
      </c>
      <c r="I4" s="13">
        <f>SUM(I5:I154)</f>
        <v>1</v>
      </c>
      <c r="J4" s="13">
        <f>SUM(J5:J154)</f>
        <v>1</v>
      </c>
      <c r="K4" s="13">
        <f>SUM(K5:K154)</f>
        <v>1</v>
      </c>
      <c r="L4" s="13">
        <f>SUM(L5:L154)</f>
        <v>1</v>
      </c>
      <c r="M4" s="13">
        <f>SUM(M5:M154)</f>
        <v>0.5</v>
      </c>
      <c r="N4" s="13">
        <f>SUM(N5:N154)</f>
        <v>0</v>
      </c>
      <c r="O4" s="13">
        <f>SUM(O5:O154)</f>
        <v>0</v>
      </c>
      <c r="P4" s="13">
        <f>SUM(P5:P154)</f>
        <v>0.1</v>
      </c>
      <c r="R4" s="100" t="s">
        <v>191</v>
      </c>
    </row>
    <row r="5" spans="1:18" ht="19.8" customHeight="1" x14ac:dyDescent="0.3">
      <c r="B5" s="110" t="s">
        <v>15</v>
      </c>
      <c r="C5" s="14"/>
      <c r="D5" s="16"/>
      <c r="E5" s="17"/>
      <c r="F5" s="17"/>
      <c r="G5" s="17"/>
      <c r="H5" s="17"/>
      <c r="I5" s="17">
        <v>0.2</v>
      </c>
      <c r="J5" s="17"/>
      <c r="K5" s="17"/>
      <c r="L5" s="17"/>
      <c r="M5" s="17"/>
      <c r="N5" s="17"/>
      <c r="O5" s="17"/>
      <c r="P5" s="17">
        <v>0.1</v>
      </c>
      <c r="Q5" s="81"/>
      <c r="R5" s="19" t="s">
        <v>196</v>
      </c>
    </row>
    <row r="6" spans="1:18" ht="15.6" customHeight="1" x14ac:dyDescent="0.3">
      <c r="A6" s="111" t="s">
        <v>201</v>
      </c>
      <c r="B6" s="20" t="s">
        <v>198</v>
      </c>
      <c r="C6" s="21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R6" s="21"/>
    </row>
    <row r="7" spans="1:18" ht="18.600000000000001" customHeight="1" x14ac:dyDescent="0.3">
      <c r="A7" s="111"/>
      <c r="B7" s="14"/>
      <c r="C7" s="15"/>
      <c r="D7" s="24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R7" s="25"/>
    </row>
    <row r="8" spans="1:18" ht="18.600000000000001" customHeight="1" x14ac:dyDescent="0.3">
      <c r="B8" s="26" t="s">
        <v>200</v>
      </c>
      <c r="C8" s="27"/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R8" s="30"/>
    </row>
    <row r="9" spans="1:18" ht="63" customHeight="1" x14ac:dyDescent="0.3">
      <c r="B9" s="31" t="s">
        <v>16</v>
      </c>
      <c r="C9" s="15" t="s">
        <v>17</v>
      </c>
      <c r="D9" s="32">
        <f>SUM(E9:P9)</f>
        <v>2.4</v>
      </c>
      <c r="E9" s="18">
        <v>0.8</v>
      </c>
      <c r="F9" s="18">
        <v>0.6</v>
      </c>
      <c r="G9" s="18">
        <v>1</v>
      </c>
      <c r="H9" s="18"/>
      <c r="I9" s="18"/>
      <c r="J9" s="18"/>
      <c r="K9" s="18"/>
      <c r="L9" s="18"/>
      <c r="M9" s="18"/>
      <c r="N9" s="18"/>
      <c r="O9" s="18"/>
      <c r="P9" s="18"/>
      <c r="R9" s="34" t="s">
        <v>18</v>
      </c>
    </row>
    <row r="10" spans="1:18" ht="86.4" customHeight="1" x14ac:dyDescent="0.3">
      <c r="B10" s="31" t="s">
        <v>19</v>
      </c>
      <c r="C10" s="15" t="s">
        <v>17</v>
      </c>
      <c r="D10" s="32">
        <f>SUM(E10:P10)</f>
        <v>1.7</v>
      </c>
      <c r="E10" s="18">
        <v>0.2</v>
      </c>
      <c r="F10" s="18"/>
      <c r="G10" s="18"/>
      <c r="H10" s="18">
        <v>0.2</v>
      </c>
      <c r="I10" s="18">
        <v>0.3</v>
      </c>
      <c r="J10" s="18">
        <v>0.1</v>
      </c>
      <c r="K10" s="18">
        <v>0.6</v>
      </c>
      <c r="L10" s="18">
        <v>0.2</v>
      </c>
      <c r="M10" s="18">
        <v>0.1</v>
      </c>
      <c r="N10" s="18"/>
      <c r="O10" s="18"/>
      <c r="P10" s="18"/>
      <c r="R10" s="86" t="s">
        <v>20</v>
      </c>
    </row>
    <row r="11" spans="1:18" ht="66" customHeight="1" x14ac:dyDescent="0.3">
      <c r="B11" s="14" t="s">
        <v>21</v>
      </c>
      <c r="C11" s="15" t="s">
        <v>17</v>
      </c>
      <c r="D11" s="32">
        <f>SUM(E11:P11)</f>
        <v>0.7</v>
      </c>
      <c r="E11" s="18"/>
      <c r="F11" s="18"/>
      <c r="G11" s="18"/>
      <c r="H11" s="18">
        <v>0.2</v>
      </c>
      <c r="I11" s="18">
        <v>0.3</v>
      </c>
      <c r="J11" s="18"/>
      <c r="K11" s="18"/>
      <c r="L11" s="18">
        <v>0.2</v>
      </c>
      <c r="M11" s="18"/>
      <c r="N11" s="18"/>
      <c r="O11" s="18"/>
      <c r="P11" s="18"/>
      <c r="R11" s="103" t="s">
        <v>192</v>
      </c>
    </row>
    <row r="12" spans="1:18" ht="18" customHeight="1" x14ac:dyDescent="0.3">
      <c r="B12" s="14" t="s">
        <v>22</v>
      </c>
      <c r="C12" s="15" t="s">
        <v>17</v>
      </c>
      <c r="D12" s="32">
        <f>SUM(E12:P12)</f>
        <v>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R12" s="34"/>
    </row>
    <row r="13" spans="1:18" ht="58.95" customHeight="1" x14ac:dyDescent="0.3">
      <c r="B13" s="31" t="s">
        <v>23</v>
      </c>
      <c r="C13" s="15" t="s">
        <v>17</v>
      </c>
      <c r="D13" s="32">
        <f>SUM(E13:P13)</f>
        <v>0.2</v>
      </c>
      <c r="E13" s="18"/>
      <c r="F13" s="18"/>
      <c r="G13" s="18"/>
      <c r="H13" s="33"/>
      <c r="I13" s="18"/>
      <c r="J13" s="18"/>
      <c r="K13" s="18">
        <v>0.2</v>
      </c>
      <c r="L13" s="18"/>
      <c r="M13" s="18"/>
      <c r="N13" s="18"/>
      <c r="O13" s="18"/>
      <c r="P13" s="18"/>
      <c r="R13" s="86" t="s">
        <v>24</v>
      </c>
    </row>
    <row r="14" spans="1:18" x14ac:dyDescent="0.3">
      <c r="B14" s="14"/>
      <c r="C14" s="15"/>
      <c r="D14" s="32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R14" s="34"/>
    </row>
    <row r="15" spans="1:18" ht="20.100000000000001" customHeight="1" x14ac:dyDescent="0.3">
      <c r="B15" s="26" t="s">
        <v>200</v>
      </c>
      <c r="C15" s="27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R15" s="30"/>
    </row>
    <row r="16" spans="1:18" x14ac:dyDescent="0.3">
      <c r="B16" s="14" t="s">
        <v>26</v>
      </c>
      <c r="C16" s="15" t="s">
        <v>17</v>
      </c>
      <c r="D16" s="32">
        <f>SUM(E16:P16)</f>
        <v>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R16" s="25"/>
    </row>
    <row r="17" spans="2:18" x14ac:dyDescent="0.3">
      <c r="B17" s="35" t="s">
        <v>27</v>
      </c>
      <c r="C17" s="15" t="s">
        <v>17</v>
      </c>
      <c r="D17" s="32">
        <f>SUM(E17:P17)</f>
        <v>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R17" s="25"/>
    </row>
    <row r="18" spans="2:18" hidden="1" x14ac:dyDescent="0.3">
      <c r="B18" s="36" t="s">
        <v>28</v>
      </c>
      <c r="C18" s="15" t="s">
        <v>25</v>
      </c>
      <c r="D18" s="32">
        <f>SUM(E18:P18)</f>
        <v>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R18" s="25"/>
    </row>
    <row r="19" spans="2:18" hidden="1" x14ac:dyDescent="0.3">
      <c r="B19" s="36" t="s">
        <v>29</v>
      </c>
      <c r="C19" s="15" t="s">
        <v>30</v>
      </c>
      <c r="D19" s="32">
        <f>SUM(E19:P19)</f>
        <v>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R19" s="25"/>
    </row>
    <row r="20" spans="2:18" hidden="1" x14ac:dyDescent="0.3">
      <c r="B20" s="36" t="s">
        <v>31</v>
      </c>
      <c r="C20" s="15" t="s">
        <v>25</v>
      </c>
      <c r="D20" s="32">
        <f>SUM(E20:P20)</f>
        <v>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R20" s="25"/>
    </row>
    <row r="21" spans="2:18" hidden="1" x14ac:dyDescent="0.3">
      <c r="B21" s="36" t="s">
        <v>32</v>
      </c>
      <c r="C21" s="15" t="s">
        <v>25</v>
      </c>
      <c r="D21" s="32">
        <f>SUM(E21:P21)</f>
        <v>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R21" s="25"/>
    </row>
    <row r="22" spans="2:18" hidden="1" x14ac:dyDescent="0.3">
      <c r="B22" s="35" t="s">
        <v>33</v>
      </c>
      <c r="C22" s="15" t="s">
        <v>25</v>
      </c>
      <c r="D22" s="32">
        <f>SUM(E22:P22)</f>
        <v>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R22" s="25"/>
    </row>
    <row r="23" spans="2:18" hidden="1" x14ac:dyDescent="0.3">
      <c r="B23" s="35" t="s">
        <v>34</v>
      </c>
      <c r="C23" s="15" t="s">
        <v>17</v>
      </c>
      <c r="D23" s="32">
        <f>SUM(E23:P23)</f>
        <v>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R23" s="25"/>
    </row>
    <row r="24" spans="2:18" hidden="1" x14ac:dyDescent="0.3">
      <c r="B24" s="35" t="s">
        <v>35</v>
      </c>
      <c r="C24" s="15" t="s">
        <v>25</v>
      </c>
      <c r="D24" s="32">
        <f>SUM(E24:P24)</f>
        <v>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R24" s="25"/>
    </row>
    <row r="25" spans="2:18" hidden="1" x14ac:dyDescent="0.3">
      <c r="B25" s="35" t="s">
        <v>36</v>
      </c>
      <c r="C25" s="15" t="s">
        <v>17</v>
      </c>
      <c r="D25" s="32">
        <f>SUM(E25:P25)</f>
        <v>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R25" s="25"/>
    </row>
    <row r="26" spans="2:18" hidden="1" x14ac:dyDescent="0.3">
      <c r="B26" s="35" t="s">
        <v>37</v>
      </c>
      <c r="C26" s="15" t="s">
        <v>17</v>
      </c>
      <c r="D26" s="32">
        <f>SUM(E26:P26)</f>
        <v>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R26" s="25"/>
    </row>
    <row r="27" spans="2:18" hidden="1" x14ac:dyDescent="0.3">
      <c r="B27" s="35" t="s">
        <v>38</v>
      </c>
      <c r="C27" s="15" t="s">
        <v>17</v>
      </c>
      <c r="D27" s="32">
        <f>SUM(E27:P27)</f>
        <v>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R27" s="25"/>
    </row>
    <row r="28" spans="2:18" hidden="1" x14ac:dyDescent="0.3">
      <c r="B28" s="35" t="s">
        <v>39</v>
      </c>
      <c r="C28" s="15" t="s">
        <v>17</v>
      </c>
      <c r="D28" s="32">
        <f>SUM(E28:P28)</f>
        <v>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R28" s="25"/>
    </row>
    <row r="29" spans="2:18" hidden="1" x14ac:dyDescent="0.3">
      <c r="B29" s="35" t="s">
        <v>40</v>
      </c>
      <c r="C29" s="15" t="s">
        <v>17</v>
      </c>
      <c r="D29" s="32">
        <f>SUM(E29:P29)</f>
        <v>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R29" s="25"/>
    </row>
    <row r="30" spans="2:18" hidden="1" x14ac:dyDescent="0.3">
      <c r="B30" s="35" t="s">
        <v>41</v>
      </c>
      <c r="C30" s="15" t="s">
        <v>17</v>
      </c>
      <c r="D30" s="32">
        <f>SUM(E30:P30)</f>
        <v>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R30" s="25"/>
    </row>
    <row r="31" spans="2:18" x14ac:dyDescent="0.3">
      <c r="B31" s="35" t="s">
        <v>42</v>
      </c>
      <c r="C31" s="15" t="s">
        <v>17</v>
      </c>
      <c r="D31" s="32">
        <f>SUM(E31:P31)</f>
        <v>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R31" s="96" t="s">
        <v>43</v>
      </c>
    </row>
    <row r="32" spans="2:18" x14ac:dyDescent="0.3">
      <c r="B32" s="35" t="s">
        <v>44</v>
      </c>
      <c r="C32" s="15" t="s">
        <v>17</v>
      </c>
      <c r="D32" s="32">
        <f>SUM(E32:P32)</f>
        <v>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R32" s="96" t="s">
        <v>43</v>
      </c>
    </row>
    <row r="33" spans="2:18" x14ac:dyDescent="0.3">
      <c r="B33" s="35" t="s">
        <v>45</v>
      </c>
      <c r="C33" s="15" t="s">
        <v>17</v>
      </c>
      <c r="D33" s="32">
        <f>SUM(E33:P33)</f>
        <v>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R33" s="96" t="s">
        <v>43</v>
      </c>
    </row>
    <row r="34" spans="2:18" x14ac:dyDescent="0.3">
      <c r="B34" s="35" t="s">
        <v>46</v>
      </c>
      <c r="C34" s="15" t="s">
        <v>17</v>
      </c>
      <c r="D34" s="32">
        <f>SUM(E34:P34)</f>
        <v>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R34" s="96" t="s">
        <v>43</v>
      </c>
    </row>
    <row r="35" spans="2:18" x14ac:dyDescent="0.3">
      <c r="B35" s="35" t="s">
        <v>47</v>
      </c>
      <c r="C35" s="15" t="s">
        <v>17</v>
      </c>
      <c r="D35" s="32">
        <f>SUM(E35:P35)</f>
        <v>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R35" s="96" t="s">
        <v>43</v>
      </c>
    </row>
    <row r="36" spans="2:18" x14ac:dyDescent="0.3">
      <c r="B36" s="35" t="s">
        <v>48</v>
      </c>
      <c r="C36" s="15" t="s">
        <v>17</v>
      </c>
      <c r="D36" s="32">
        <f>SUM(E36:P36)</f>
        <v>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R36" s="96" t="s">
        <v>43</v>
      </c>
    </row>
    <row r="37" spans="2:18" x14ac:dyDescent="0.3">
      <c r="B37" s="35" t="s">
        <v>49</v>
      </c>
      <c r="C37" s="15" t="s">
        <v>17</v>
      </c>
      <c r="D37" s="32">
        <f>SUM(E37:P37)</f>
        <v>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R37" s="96" t="s">
        <v>43</v>
      </c>
    </row>
    <row r="38" spans="2:18" x14ac:dyDescent="0.3">
      <c r="B38" s="35" t="s">
        <v>50</v>
      </c>
      <c r="C38" s="15" t="s">
        <v>25</v>
      </c>
      <c r="D38" s="32">
        <f>SUM(E38:P38)</f>
        <v>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R38" s="96"/>
    </row>
    <row r="39" spans="2:18" x14ac:dyDescent="0.3">
      <c r="B39" s="35" t="s">
        <v>51</v>
      </c>
      <c r="C39" s="15" t="s">
        <v>25</v>
      </c>
      <c r="D39" s="32">
        <f>SUM(E39:P39)</f>
        <v>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R39" s="96"/>
    </row>
    <row r="40" spans="2:18" x14ac:dyDescent="0.3">
      <c r="B40" s="35"/>
      <c r="C40" s="15"/>
      <c r="D40" s="2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R40" s="25"/>
    </row>
    <row r="41" spans="2:18" x14ac:dyDescent="0.3">
      <c r="B41" s="26" t="s">
        <v>52</v>
      </c>
      <c r="C41" s="27"/>
      <c r="D41" s="2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R41" s="30"/>
    </row>
    <row r="42" spans="2:18" ht="19.95" customHeight="1" x14ac:dyDescent="0.3">
      <c r="B42" s="31" t="s">
        <v>53</v>
      </c>
      <c r="C42" s="15" t="s">
        <v>17</v>
      </c>
      <c r="D42" s="32">
        <f>SUM(E42:P42)</f>
        <v>0.1</v>
      </c>
      <c r="E42" s="18"/>
      <c r="F42" s="18"/>
      <c r="G42" s="18"/>
      <c r="H42" s="18"/>
      <c r="I42" s="18"/>
      <c r="J42" s="18"/>
      <c r="K42" s="18">
        <v>0.1</v>
      </c>
      <c r="L42" s="18"/>
      <c r="M42" s="18"/>
      <c r="N42" s="18"/>
      <c r="O42" s="18"/>
      <c r="P42" s="18"/>
      <c r="R42" s="84" t="s">
        <v>54</v>
      </c>
    </row>
    <row r="43" spans="2:18" ht="118.95" customHeight="1" x14ac:dyDescent="0.3">
      <c r="B43" s="14" t="s">
        <v>55</v>
      </c>
      <c r="C43" s="15" t="s">
        <v>17</v>
      </c>
      <c r="D43" s="32">
        <f>SUM(E43:P43)</f>
        <v>1.3</v>
      </c>
      <c r="E43" s="18"/>
      <c r="F43" s="18"/>
      <c r="G43" s="18"/>
      <c r="H43" s="18">
        <v>0.3</v>
      </c>
      <c r="I43" s="18"/>
      <c r="J43" s="18">
        <v>0.8</v>
      </c>
      <c r="L43" s="18"/>
      <c r="M43" s="18">
        <v>0.2</v>
      </c>
      <c r="N43" s="18"/>
      <c r="O43" s="18"/>
      <c r="P43" s="18"/>
      <c r="R43" s="98" t="s">
        <v>56</v>
      </c>
    </row>
    <row r="44" spans="2:18" ht="21" customHeight="1" x14ac:dyDescent="0.3">
      <c r="B44" s="97" t="s">
        <v>57</v>
      </c>
      <c r="C44" s="15" t="s">
        <v>17</v>
      </c>
      <c r="D44" s="32">
        <f>SUM(E44:P44)</f>
        <v>0.2</v>
      </c>
      <c r="E44" s="18"/>
      <c r="F44" s="18"/>
      <c r="G44" s="18"/>
      <c r="H44" s="18"/>
      <c r="I44" s="18"/>
      <c r="J44" s="18"/>
      <c r="K44" s="18"/>
      <c r="L44" s="18"/>
      <c r="M44" s="18">
        <v>0.2</v>
      </c>
      <c r="N44" s="18"/>
      <c r="O44" s="18"/>
      <c r="P44" s="18"/>
      <c r="R44" s="98"/>
    </row>
    <row r="45" spans="2:18" ht="21" hidden="1" customHeight="1" x14ac:dyDescent="0.3">
      <c r="B45" s="97" t="s">
        <v>58</v>
      </c>
      <c r="C45" s="15" t="s">
        <v>17</v>
      </c>
      <c r="D45" s="32">
        <f>SUM(E45:P45)</f>
        <v>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R45" s="98" t="s">
        <v>59</v>
      </c>
    </row>
    <row r="46" spans="2:18" ht="21" customHeight="1" x14ac:dyDescent="0.3">
      <c r="B46" s="107" t="s">
        <v>193</v>
      </c>
      <c r="C46" s="15" t="s">
        <v>17</v>
      </c>
      <c r="D46" s="32">
        <f>SUM(E46:P46)</f>
        <v>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R46" s="98"/>
    </row>
    <row r="47" spans="2:18" x14ac:dyDescent="0.3">
      <c r="B47" s="63" t="s">
        <v>60</v>
      </c>
      <c r="C47" s="15" t="s">
        <v>17</v>
      </c>
      <c r="D47" s="32">
        <f>SUM(E47:P47)</f>
        <v>0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R47" s="104"/>
    </row>
    <row r="48" spans="2:18" x14ac:dyDescent="0.3">
      <c r="B48" s="97"/>
      <c r="C48" s="15"/>
      <c r="D48" s="32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R48" s="95"/>
    </row>
    <row r="49" spans="2:18" x14ac:dyDescent="0.3">
      <c r="B49" s="26" t="s">
        <v>61</v>
      </c>
      <c r="C49" s="27"/>
      <c r="D49" s="28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R49" s="30"/>
    </row>
    <row r="50" spans="2:18" ht="27.6" x14ac:dyDescent="0.3">
      <c r="B50" s="31" t="s">
        <v>62</v>
      </c>
      <c r="C50" s="15" t="s">
        <v>17</v>
      </c>
      <c r="D50" s="32">
        <f>SUM(E50:P50)</f>
        <v>0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R50" s="84" t="s">
        <v>63</v>
      </c>
    </row>
    <row r="51" spans="2:18" ht="29.4" customHeight="1" x14ac:dyDescent="0.3">
      <c r="B51" s="14" t="s">
        <v>64</v>
      </c>
      <c r="C51" s="15" t="s">
        <v>17</v>
      </c>
      <c r="D51" s="32">
        <f>SUM(E51:P51)</f>
        <v>0.1</v>
      </c>
      <c r="E51" s="18"/>
      <c r="F51" s="18"/>
      <c r="G51" s="18"/>
      <c r="H51" s="18"/>
      <c r="I51" s="18"/>
      <c r="J51" s="18"/>
      <c r="K51" s="18">
        <v>0.1</v>
      </c>
      <c r="L51" s="18"/>
      <c r="M51" s="18"/>
      <c r="N51" s="18"/>
      <c r="O51" s="18"/>
      <c r="P51" s="18"/>
      <c r="R51" s="84" t="s">
        <v>65</v>
      </c>
    </row>
    <row r="52" spans="2:18" ht="27.6" x14ac:dyDescent="0.3">
      <c r="B52" s="97" t="s">
        <v>66</v>
      </c>
      <c r="C52" s="15" t="s">
        <v>17</v>
      </c>
      <c r="D52" s="32">
        <f>SUM(E52:P52)</f>
        <v>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R52" s="102" t="s">
        <v>67</v>
      </c>
    </row>
    <row r="53" spans="2:18" x14ac:dyDescent="0.3">
      <c r="B53" s="97" t="s">
        <v>68</v>
      </c>
      <c r="C53" s="15" t="s">
        <v>17</v>
      </c>
      <c r="D53" s="32">
        <f>SUM(E53:P53)</f>
        <v>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R53" s="102" t="s">
        <v>69</v>
      </c>
    </row>
    <row r="54" spans="2:18" ht="15" customHeight="1" x14ac:dyDescent="0.3">
      <c r="B54" s="97" t="s">
        <v>70</v>
      </c>
      <c r="C54" s="15" t="s">
        <v>17</v>
      </c>
      <c r="D54" s="32">
        <f>SUM(E54:P54)</f>
        <v>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R54" s="95"/>
    </row>
    <row r="55" spans="2:18" x14ac:dyDescent="0.3">
      <c r="B55" s="97" t="s">
        <v>71</v>
      </c>
      <c r="C55" s="15" t="s">
        <v>17</v>
      </c>
      <c r="D55" s="32">
        <f>SUM(E55:P55)</f>
        <v>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R55" s="95"/>
    </row>
    <row r="56" spans="2:18" x14ac:dyDescent="0.3">
      <c r="B56" s="45" t="s">
        <v>72</v>
      </c>
      <c r="C56" s="15" t="s">
        <v>17</v>
      </c>
      <c r="D56" s="32">
        <f>SUM(E56:P56)</f>
        <v>0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R56" s="25"/>
    </row>
    <row r="57" spans="2:18" x14ac:dyDescent="0.3">
      <c r="B57" s="35"/>
      <c r="C57" s="15"/>
      <c r="D57" s="24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R57" s="25"/>
    </row>
    <row r="58" spans="2:18" x14ac:dyDescent="0.3">
      <c r="B58" s="26" t="s">
        <v>73</v>
      </c>
      <c r="C58" s="27"/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R58" s="30"/>
    </row>
    <row r="59" spans="2:18" x14ac:dyDescent="0.3">
      <c r="B59" s="91" t="s">
        <v>74</v>
      </c>
      <c r="C59" s="15" t="s">
        <v>17</v>
      </c>
      <c r="D59" s="32">
        <f>SUM(E59:P59)</f>
        <v>0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R59" s="25"/>
    </row>
    <row r="60" spans="2:18" x14ac:dyDescent="0.3">
      <c r="B60" s="14" t="s">
        <v>75</v>
      </c>
      <c r="C60" s="15" t="s">
        <v>17</v>
      </c>
      <c r="D60" s="32">
        <f>SUM(E60:P60)</f>
        <v>0.15000000000000002</v>
      </c>
      <c r="E60" s="18"/>
      <c r="F60" s="18"/>
      <c r="G60" s="18"/>
      <c r="H60" s="18">
        <v>0.05</v>
      </c>
      <c r="I60" s="18"/>
      <c r="J60" s="18">
        <v>0.1</v>
      </c>
      <c r="K60" s="18"/>
      <c r="L60" s="18"/>
      <c r="M60" s="18"/>
      <c r="N60" s="18"/>
      <c r="O60" s="18"/>
      <c r="P60" s="18"/>
      <c r="R60" s="25" t="s">
        <v>190</v>
      </c>
    </row>
    <row r="61" spans="2:18" hidden="1" x14ac:dyDescent="0.3">
      <c r="B61" s="37" t="s">
        <v>76</v>
      </c>
      <c r="C61" s="15" t="s">
        <v>17</v>
      </c>
      <c r="D61" s="32">
        <f>SUM(E61:P61)</f>
        <v>0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R61" s="25"/>
    </row>
    <row r="62" spans="2:18" s="43" customFormat="1" x14ac:dyDescent="0.3">
      <c r="B62" s="31" t="s">
        <v>77</v>
      </c>
      <c r="C62" s="15" t="s">
        <v>17</v>
      </c>
      <c r="D62" s="32">
        <f>SUM(E62:P62)</f>
        <v>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R62" s="25"/>
    </row>
    <row r="63" spans="2:18" s="43" customFormat="1" x14ac:dyDescent="0.3">
      <c r="B63" s="44" t="s">
        <v>78</v>
      </c>
      <c r="C63" s="15" t="s">
        <v>17</v>
      </c>
      <c r="D63" s="32">
        <f>SUM(E63:P63)</f>
        <v>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R63" s="25"/>
    </row>
    <row r="64" spans="2:18" ht="30" customHeight="1" x14ac:dyDescent="0.3">
      <c r="B64" s="83" t="s">
        <v>79</v>
      </c>
      <c r="C64" s="15" t="s">
        <v>17</v>
      </c>
      <c r="D64" s="32">
        <f>SUM(E64:P64)</f>
        <v>0.30000000000000004</v>
      </c>
      <c r="E64" s="18"/>
      <c r="F64" s="18"/>
      <c r="G64" s="18"/>
      <c r="H64" s="18">
        <v>0.1</v>
      </c>
      <c r="I64" s="18">
        <v>0.2</v>
      </c>
      <c r="J64" s="18"/>
      <c r="K64" s="18"/>
      <c r="L64" s="18"/>
      <c r="M64" s="18"/>
      <c r="N64" s="18"/>
      <c r="O64" s="18"/>
      <c r="P64" s="18"/>
      <c r="R64" s="94" t="s">
        <v>80</v>
      </c>
    </row>
    <row r="65" spans="2:18" ht="27.6" customHeight="1" x14ac:dyDescent="0.3">
      <c r="B65" s="83" t="s">
        <v>81</v>
      </c>
      <c r="C65" s="15" t="s">
        <v>17</v>
      </c>
      <c r="D65" s="32">
        <f>SUM(E65:P65)</f>
        <v>0.1</v>
      </c>
      <c r="E65" s="18"/>
      <c r="F65" s="18"/>
      <c r="G65" s="18"/>
      <c r="H65" s="18">
        <v>0.1</v>
      </c>
      <c r="I65" s="18"/>
      <c r="J65" s="18"/>
      <c r="K65" s="18"/>
      <c r="L65" s="18"/>
      <c r="M65" s="18"/>
      <c r="N65" s="18"/>
      <c r="O65" s="18"/>
      <c r="P65" s="18"/>
      <c r="R65" s="25" t="s">
        <v>189</v>
      </c>
    </row>
    <row r="66" spans="2:18" x14ac:dyDescent="0.3">
      <c r="B66" s="45" t="s">
        <v>82</v>
      </c>
      <c r="C66" s="15" t="s">
        <v>17</v>
      </c>
      <c r="D66" s="32">
        <f>SUM(E66:P66)</f>
        <v>0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R66" s="25" t="s">
        <v>83</v>
      </c>
    </row>
    <row r="67" spans="2:18" ht="17.850000000000001" customHeight="1" x14ac:dyDescent="0.3">
      <c r="B67" s="35" t="s">
        <v>84</v>
      </c>
      <c r="C67" s="15" t="s">
        <v>17</v>
      </c>
      <c r="D67" s="32">
        <f>SUM(E67:P67)</f>
        <v>0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R67" s="25"/>
    </row>
    <row r="68" spans="2:18" x14ac:dyDescent="0.3">
      <c r="B68" s="46" t="s">
        <v>85</v>
      </c>
      <c r="C68" s="15" t="s">
        <v>17</v>
      </c>
      <c r="D68" s="32">
        <f>SUM(E68:P68)</f>
        <v>0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R68" s="25" t="s">
        <v>188</v>
      </c>
    </row>
    <row r="69" spans="2:18" ht="37.35" customHeight="1" x14ac:dyDescent="0.3">
      <c r="B69" s="47" t="s">
        <v>86</v>
      </c>
      <c r="C69" s="15" t="s">
        <v>17</v>
      </c>
      <c r="D69" s="32">
        <f>SUM(E69:P69)</f>
        <v>0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R69" s="105" t="s">
        <v>87</v>
      </c>
    </row>
    <row r="70" spans="2:18" ht="17.850000000000001" customHeight="1" x14ac:dyDescent="0.3">
      <c r="B70" s="82" t="s">
        <v>88</v>
      </c>
      <c r="C70" s="15" t="s">
        <v>17</v>
      </c>
      <c r="D70" s="32">
        <f>SUM(E70:P70)</f>
        <v>0</v>
      </c>
      <c r="E70" s="18"/>
      <c r="F70" s="18"/>
      <c r="G70" s="18"/>
      <c r="H70" s="51"/>
      <c r="I70" s="18"/>
      <c r="J70" s="18"/>
      <c r="K70" s="18"/>
      <c r="L70" s="18"/>
      <c r="M70" s="18"/>
      <c r="N70" s="18"/>
      <c r="O70" s="18"/>
      <c r="P70" s="18"/>
      <c r="R70" s="25" t="s">
        <v>89</v>
      </c>
    </row>
    <row r="71" spans="2:18" ht="21.6" customHeight="1" x14ac:dyDescent="0.3">
      <c r="B71" s="49" t="s">
        <v>90</v>
      </c>
      <c r="C71" s="15" t="s">
        <v>25</v>
      </c>
      <c r="D71" s="32">
        <f>SUM(E71:P71)</f>
        <v>0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25"/>
    </row>
    <row r="72" spans="2:18" s="52" customFormat="1" ht="0.6" customHeight="1" x14ac:dyDescent="0.3">
      <c r="B72" s="50" t="s">
        <v>91</v>
      </c>
      <c r="C72" s="15" t="s">
        <v>25</v>
      </c>
      <c r="D72" s="32">
        <f>SUM(E72:P72)</f>
        <v>0</v>
      </c>
      <c r="E72" s="51"/>
      <c r="F72" s="51"/>
      <c r="G72" s="51"/>
      <c r="H72" s="51"/>
      <c r="I72" s="18"/>
      <c r="J72" s="18"/>
      <c r="K72" s="18"/>
      <c r="L72" s="18"/>
      <c r="M72" s="51"/>
      <c r="N72" s="51"/>
      <c r="O72" s="51"/>
      <c r="P72" s="51"/>
      <c r="R72" s="53"/>
    </row>
    <row r="73" spans="2:18" x14ac:dyDescent="0.3">
      <c r="B73" s="83" t="s">
        <v>92</v>
      </c>
      <c r="C73" s="15" t="s">
        <v>25</v>
      </c>
      <c r="D73" s="32">
        <f>SUM(E73:P73)</f>
        <v>0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R73" s="25"/>
    </row>
    <row r="74" spans="2:18" ht="30" hidden="1" customHeight="1" x14ac:dyDescent="0.3">
      <c r="B74" s="83" t="s">
        <v>93</v>
      </c>
      <c r="C74" s="15" t="s">
        <v>17</v>
      </c>
      <c r="D74" s="32">
        <f>SUM(E74:P74)</f>
        <v>0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R74" s="25"/>
    </row>
    <row r="75" spans="2:18" ht="29.1" customHeight="1" x14ac:dyDescent="0.3">
      <c r="B75" s="83" t="s">
        <v>94</v>
      </c>
      <c r="C75" s="15" t="s">
        <v>17</v>
      </c>
      <c r="D75" s="32">
        <f>SUM(E75:P75)</f>
        <v>0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R75" s="25"/>
    </row>
    <row r="76" spans="2:18" x14ac:dyDescent="0.3">
      <c r="B76" s="83" t="s">
        <v>95</v>
      </c>
      <c r="C76" s="15" t="s">
        <v>17</v>
      </c>
      <c r="D76" s="32">
        <f>SUM(E76:P76)</f>
        <v>0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R76" s="25" t="s">
        <v>96</v>
      </c>
    </row>
    <row r="77" spans="2:18" ht="15" customHeight="1" x14ac:dyDescent="0.3">
      <c r="B77" s="83" t="s">
        <v>97</v>
      </c>
      <c r="C77" s="15" t="s">
        <v>17</v>
      </c>
      <c r="D77" s="32">
        <f>SUM(E77:P77)</f>
        <v>0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R77" s="25" t="s">
        <v>98</v>
      </c>
    </row>
    <row r="78" spans="2:18" ht="13.5" hidden="1" customHeight="1" x14ac:dyDescent="0.3">
      <c r="B78" s="47" t="s">
        <v>99</v>
      </c>
      <c r="C78" s="15" t="s">
        <v>25</v>
      </c>
      <c r="D78" s="32">
        <f>SUM(E78:P78)</f>
        <v>0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R78" s="25" t="s">
        <v>100</v>
      </c>
    </row>
    <row r="79" spans="2:18" ht="28.8" hidden="1" x14ac:dyDescent="0.3">
      <c r="B79" s="60" t="s">
        <v>101</v>
      </c>
      <c r="C79" s="15" t="s">
        <v>25</v>
      </c>
      <c r="D79" s="32">
        <f>SUM(E79:P79)</f>
        <v>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R79" s="25" t="s">
        <v>102</v>
      </c>
    </row>
    <row r="80" spans="2:18" ht="28.8" hidden="1" x14ac:dyDescent="0.3">
      <c r="B80" s="40" t="s">
        <v>103</v>
      </c>
      <c r="C80" s="15" t="s">
        <v>25</v>
      </c>
      <c r="D80" s="32">
        <f>SUM(E80:P80)</f>
        <v>0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R80" s="25"/>
    </row>
    <row r="81" spans="2:18" hidden="1" x14ac:dyDescent="0.3">
      <c r="B81" s="41" t="s">
        <v>104</v>
      </c>
      <c r="C81" s="15" t="s">
        <v>25</v>
      </c>
      <c r="D81" s="32">
        <f>SUM(E81:P81)</f>
        <v>0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R81" s="25"/>
    </row>
    <row r="82" spans="2:18" hidden="1" x14ac:dyDescent="0.3">
      <c r="B82" s="42" t="s">
        <v>105</v>
      </c>
      <c r="C82" s="15" t="s">
        <v>25</v>
      </c>
      <c r="D82" s="32">
        <f>SUM(E82:P82)</f>
        <v>0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R82" s="25" t="s">
        <v>106</v>
      </c>
    </row>
    <row r="83" spans="2:18" hidden="1" x14ac:dyDescent="0.3">
      <c r="B83" s="83" t="s">
        <v>107</v>
      </c>
      <c r="C83" s="15" t="s">
        <v>17</v>
      </c>
      <c r="D83" s="32">
        <f>SUM(E83:P83)</f>
        <v>0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R83" s="25"/>
    </row>
    <row r="84" spans="2:18" ht="19.350000000000001" customHeight="1" x14ac:dyDescent="0.3">
      <c r="B84" s="65" t="s">
        <v>108</v>
      </c>
      <c r="C84" s="15" t="s">
        <v>17</v>
      </c>
      <c r="D84" s="32">
        <f>SUM(E84:P84)</f>
        <v>0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R84" s="89" t="s">
        <v>187</v>
      </c>
    </row>
    <row r="85" spans="2:18" x14ac:dyDescent="0.3">
      <c r="B85" s="99" t="s">
        <v>109</v>
      </c>
      <c r="C85" s="15" t="s">
        <v>17</v>
      </c>
      <c r="D85" s="32">
        <f>SUM(E85:P85)</f>
        <v>0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R85" s="25"/>
    </row>
    <row r="86" spans="2:18" x14ac:dyDescent="0.3">
      <c r="B86" s="63" t="s">
        <v>110</v>
      </c>
      <c r="C86" s="15" t="s">
        <v>17</v>
      </c>
      <c r="D86" s="32">
        <f>SUM(E86:P86)</f>
        <v>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25"/>
    </row>
    <row r="87" spans="2:18" x14ac:dyDescent="0.3">
      <c r="B87" s="63" t="s">
        <v>111</v>
      </c>
      <c r="C87" s="15" t="s">
        <v>17</v>
      </c>
      <c r="D87" s="32">
        <f>SUM(E87:P87)</f>
        <v>0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R87" s="25"/>
    </row>
    <row r="88" spans="2:18" x14ac:dyDescent="0.3">
      <c r="B88" s="63" t="s">
        <v>112</v>
      </c>
      <c r="C88" s="15" t="s">
        <v>17</v>
      </c>
      <c r="D88" s="32">
        <f>SUM(E88:P88)</f>
        <v>0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R88" s="25"/>
    </row>
    <row r="89" spans="2:18" x14ac:dyDescent="0.3">
      <c r="B89" s="63" t="s">
        <v>113</v>
      </c>
      <c r="C89" s="15" t="s">
        <v>17</v>
      </c>
      <c r="D89" s="32">
        <f>SUM(E89:P89)</f>
        <v>0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R89" s="25"/>
    </row>
    <row r="90" spans="2:18" x14ac:dyDescent="0.3">
      <c r="B90" s="63" t="s">
        <v>114</v>
      </c>
      <c r="C90" s="15" t="s">
        <v>17</v>
      </c>
      <c r="D90" s="32">
        <f>SUM(E90:P90)</f>
        <v>0.2</v>
      </c>
      <c r="E90" s="18"/>
      <c r="F90" s="18"/>
      <c r="G90" s="18"/>
      <c r="H90" s="18"/>
      <c r="I90" s="18"/>
      <c r="J90" s="18"/>
      <c r="K90" s="18"/>
      <c r="L90" s="18">
        <v>0.2</v>
      </c>
      <c r="M90" s="18"/>
      <c r="N90" s="18"/>
      <c r="O90" s="18"/>
      <c r="P90" s="18"/>
      <c r="R90" s="25"/>
    </row>
    <row r="91" spans="2:18" x14ac:dyDescent="0.3">
      <c r="B91" s="54" t="s">
        <v>115</v>
      </c>
      <c r="C91" s="15" t="s">
        <v>17</v>
      </c>
      <c r="D91" s="32">
        <f>SUM(E91:P91)</f>
        <v>0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R91" s="25"/>
    </row>
    <row r="92" spans="2:18" x14ac:dyDescent="0.3">
      <c r="B92" s="47" t="s">
        <v>116</v>
      </c>
      <c r="C92" s="15" t="s">
        <v>17</v>
      </c>
      <c r="D92" s="32">
        <f>SUM(E92:P92)</f>
        <v>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R92" s="25" t="s">
        <v>194</v>
      </c>
    </row>
    <row r="93" spans="2:18" x14ac:dyDescent="0.3">
      <c r="B93" s="101" t="s">
        <v>117</v>
      </c>
      <c r="C93" s="15" t="s">
        <v>17</v>
      </c>
      <c r="D93" s="32">
        <f>SUM(E93:P93)</f>
        <v>0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R93" s="25"/>
    </row>
    <row r="94" spans="2:18" x14ac:dyDescent="0.3">
      <c r="B94" s="101" t="s">
        <v>118</v>
      </c>
      <c r="C94" s="15" t="s">
        <v>17</v>
      </c>
      <c r="D94" s="32">
        <f>SUM(E94:P94)</f>
        <v>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R94" s="25"/>
    </row>
    <row r="95" spans="2:18" x14ac:dyDescent="0.3">
      <c r="B95" s="101" t="s">
        <v>119</v>
      </c>
      <c r="C95" s="15" t="s">
        <v>17</v>
      </c>
      <c r="D95" s="32">
        <f>SUM(E95:P95)</f>
        <v>0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R95" s="25" t="s">
        <v>120</v>
      </c>
    </row>
    <row r="96" spans="2:18" x14ac:dyDescent="0.3">
      <c r="B96" s="101" t="s">
        <v>121</v>
      </c>
      <c r="C96" s="15" t="s">
        <v>17</v>
      </c>
      <c r="D96" s="32">
        <f>SUM(E96:P96)</f>
        <v>0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R96" s="106" t="s">
        <v>122</v>
      </c>
    </row>
    <row r="97" spans="2:18" ht="28.8" x14ac:dyDescent="0.3">
      <c r="B97" s="63" t="s">
        <v>123</v>
      </c>
      <c r="C97" s="15" t="s">
        <v>17</v>
      </c>
      <c r="D97" s="32">
        <f>SUM(E97:P97)</f>
        <v>0.4</v>
      </c>
      <c r="E97" s="18"/>
      <c r="F97" s="18"/>
      <c r="G97" s="18"/>
      <c r="H97" s="18"/>
      <c r="I97" s="18"/>
      <c r="J97" s="18"/>
      <c r="K97" s="18"/>
      <c r="L97" s="18">
        <v>0.4</v>
      </c>
      <c r="M97" s="18"/>
      <c r="N97" s="18"/>
      <c r="O97" s="18"/>
      <c r="P97" s="18"/>
      <c r="R97" s="25"/>
    </row>
    <row r="98" spans="2:18" x14ac:dyDescent="0.3">
      <c r="B98" s="63" t="s">
        <v>124</v>
      </c>
      <c r="C98" s="15" t="s">
        <v>17</v>
      </c>
      <c r="D98" s="32">
        <f>SUM(E98:P98)</f>
        <v>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R98" s="25"/>
    </row>
    <row r="99" spans="2:18" x14ac:dyDescent="0.3">
      <c r="B99" s="63" t="s">
        <v>125</v>
      </c>
      <c r="C99" s="15" t="s">
        <v>17</v>
      </c>
      <c r="D99" s="32">
        <f>SUM(E99:P99)</f>
        <v>0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R99" s="25"/>
    </row>
    <row r="100" spans="2:18" x14ac:dyDescent="0.3">
      <c r="B100" s="63"/>
      <c r="C100" s="15"/>
      <c r="D100" s="32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R100" s="25"/>
    </row>
    <row r="101" spans="2:18" ht="29.1" customHeight="1" x14ac:dyDescent="0.3">
      <c r="B101" s="20" t="s">
        <v>126</v>
      </c>
      <c r="C101" s="21"/>
      <c r="D101" s="2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R101" s="21"/>
    </row>
    <row r="102" spans="2:18" ht="14.85" hidden="1" customHeight="1" x14ac:dyDescent="0.3">
      <c r="B102" s="55" t="s">
        <v>127</v>
      </c>
      <c r="C102" s="56" t="s">
        <v>25</v>
      </c>
      <c r="D102" s="5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R102" s="58"/>
    </row>
    <row r="103" spans="2:18" ht="14.85" hidden="1" customHeight="1" x14ac:dyDescent="0.3">
      <c r="B103" s="59" t="s">
        <v>128</v>
      </c>
      <c r="C103" s="56" t="s">
        <v>17</v>
      </c>
      <c r="D103" s="5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R103" s="58"/>
    </row>
    <row r="104" spans="2:18" ht="14.85" hidden="1" customHeight="1" x14ac:dyDescent="0.3">
      <c r="B104" s="38" t="s">
        <v>129</v>
      </c>
      <c r="C104" s="56" t="s">
        <v>17</v>
      </c>
      <c r="D104" s="5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R104" s="58"/>
    </row>
    <row r="105" spans="2:18" ht="14.85" hidden="1" customHeight="1" x14ac:dyDescent="0.3">
      <c r="B105" s="60" t="s">
        <v>130</v>
      </c>
      <c r="C105" s="56" t="s">
        <v>25</v>
      </c>
      <c r="D105" s="5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R105" s="58"/>
    </row>
    <row r="106" spans="2:18" ht="14.85" hidden="1" customHeight="1" x14ac:dyDescent="0.3">
      <c r="B106" s="45" t="s">
        <v>131</v>
      </c>
      <c r="C106" s="15" t="s">
        <v>25</v>
      </c>
      <c r="D106" s="24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R106" s="25"/>
    </row>
    <row r="107" spans="2:18" ht="14.85" hidden="1" customHeight="1" x14ac:dyDescent="0.3">
      <c r="B107" s="45" t="s">
        <v>132</v>
      </c>
      <c r="C107" s="15" t="s">
        <v>25</v>
      </c>
      <c r="D107" s="24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R107" s="25"/>
    </row>
    <row r="108" spans="2:18" ht="14.85" hidden="1" customHeight="1" x14ac:dyDescent="0.3">
      <c r="B108" s="45" t="s">
        <v>133</v>
      </c>
      <c r="C108" s="15" t="s">
        <v>25</v>
      </c>
      <c r="D108" s="24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R108" s="25"/>
    </row>
    <row r="109" spans="2:18" ht="29.1" hidden="1" customHeight="1" x14ac:dyDescent="0.3">
      <c r="B109" s="45" t="s">
        <v>134</v>
      </c>
      <c r="C109" s="15" t="s">
        <v>25</v>
      </c>
      <c r="D109" s="24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R109" s="25"/>
    </row>
    <row r="110" spans="2:18" ht="29.1" hidden="1" customHeight="1" x14ac:dyDescent="0.3">
      <c r="B110" s="45" t="s">
        <v>135</v>
      </c>
      <c r="C110" s="15" t="s">
        <v>25</v>
      </c>
      <c r="D110" s="24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R110" s="25"/>
    </row>
    <row r="111" spans="2:18" ht="14.85" hidden="1" customHeight="1" x14ac:dyDescent="0.3">
      <c r="B111" s="45" t="s">
        <v>136</v>
      </c>
      <c r="C111" s="15" t="s">
        <v>25</v>
      </c>
      <c r="D111" s="24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R111" s="25"/>
    </row>
    <row r="112" spans="2:18" ht="14.85" hidden="1" customHeight="1" x14ac:dyDescent="0.3">
      <c r="B112" s="45" t="s">
        <v>137</v>
      </c>
      <c r="C112" s="15" t="s">
        <v>25</v>
      </c>
      <c r="D112" s="24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R112" s="25"/>
    </row>
    <row r="113" spans="2:18" ht="14.85" hidden="1" customHeight="1" x14ac:dyDescent="0.3">
      <c r="B113" s="45" t="s">
        <v>138</v>
      </c>
      <c r="C113" s="15" t="s">
        <v>25</v>
      </c>
      <c r="D113" s="24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R113" s="25"/>
    </row>
    <row r="114" spans="2:18" ht="14.85" hidden="1" customHeight="1" x14ac:dyDescent="0.3">
      <c r="B114" s="45" t="s">
        <v>139</v>
      </c>
      <c r="C114" s="15" t="s">
        <v>25</v>
      </c>
      <c r="D114" s="24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R114" s="25"/>
    </row>
    <row r="115" spans="2:18" ht="14.85" hidden="1" customHeight="1" x14ac:dyDescent="0.3">
      <c r="B115" s="61" t="s">
        <v>140</v>
      </c>
      <c r="C115" s="56" t="s">
        <v>25</v>
      </c>
      <c r="D115" s="5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R115" s="58"/>
    </row>
    <row r="116" spans="2:18" ht="14.85" hidden="1" customHeight="1" x14ac:dyDescent="0.3">
      <c r="B116" s="39" t="s">
        <v>141</v>
      </c>
      <c r="C116" s="56" t="s">
        <v>25</v>
      </c>
      <c r="D116" s="5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R116" s="58"/>
    </row>
    <row r="117" spans="2:18" ht="14.85" hidden="1" customHeight="1" x14ac:dyDescent="0.3">
      <c r="B117" s="39" t="s">
        <v>142</v>
      </c>
      <c r="C117" s="56" t="s">
        <v>25</v>
      </c>
      <c r="D117" s="5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R117" s="58"/>
    </row>
    <row r="118" spans="2:18" hidden="1" x14ac:dyDescent="0.3">
      <c r="B118" s="62" t="s">
        <v>143</v>
      </c>
      <c r="C118" s="15" t="s">
        <v>144</v>
      </c>
      <c r="D118" s="24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R118" s="25"/>
    </row>
    <row r="119" spans="2:18" hidden="1" x14ac:dyDescent="0.3">
      <c r="B119" s="64" t="s">
        <v>145</v>
      </c>
      <c r="C119" s="15" t="s">
        <v>25</v>
      </c>
      <c r="D119" s="32">
        <f>SUM(E119:P119)</f>
        <v>0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R119" s="25"/>
    </row>
    <row r="120" spans="2:18" hidden="1" x14ac:dyDescent="0.3">
      <c r="B120" s="64" t="s">
        <v>146</v>
      </c>
      <c r="C120" s="15" t="s">
        <v>25</v>
      </c>
      <c r="D120" s="32">
        <f>SUM(E120:P120)</f>
        <v>0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R120" s="25"/>
    </row>
    <row r="121" spans="2:18" hidden="1" x14ac:dyDescent="0.3"/>
    <row r="122" spans="2:18" hidden="1" x14ac:dyDescent="0.3">
      <c r="B122" s="83" t="s">
        <v>147</v>
      </c>
      <c r="C122" s="15" t="s">
        <v>17</v>
      </c>
      <c r="D122" s="32">
        <f>SUM(E122:P122)</f>
        <v>0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R122" s="25"/>
    </row>
    <row r="123" spans="2:18" x14ac:dyDescent="0.3">
      <c r="B123" s="87" t="s">
        <v>148</v>
      </c>
      <c r="C123" s="15" t="s">
        <v>17</v>
      </c>
      <c r="D123" s="32">
        <f>SUM(E123:P123)</f>
        <v>0.05</v>
      </c>
      <c r="E123" s="18"/>
      <c r="F123" s="18"/>
      <c r="G123" s="18"/>
      <c r="H123" s="18">
        <v>0.05</v>
      </c>
      <c r="I123" s="18"/>
      <c r="J123" s="18"/>
      <c r="K123" s="18"/>
      <c r="L123" s="18"/>
      <c r="M123" s="18"/>
      <c r="N123" s="18"/>
      <c r="O123" s="18"/>
      <c r="P123" s="18"/>
      <c r="R123" s="25" t="s">
        <v>149</v>
      </c>
    </row>
    <row r="124" spans="2:18" hidden="1" x14ac:dyDescent="0.3">
      <c r="B124" s="83" t="s">
        <v>150</v>
      </c>
      <c r="C124" s="15" t="s">
        <v>25</v>
      </c>
      <c r="D124" s="32">
        <f>SUM(E124:P124)</f>
        <v>0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R124" s="25"/>
    </row>
    <row r="125" spans="2:18" hidden="1" x14ac:dyDescent="0.3">
      <c r="B125" s="46" t="s">
        <v>151</v>
      </c>
      <c r="C125" s="15" t="s">
        <v>25</v>
      </c>
      <c r="D125" s="32">
        <f>SUM(E125:P125)</f>
        <v>0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R125" s="25" t="s">
        <v>152</v>
      </c>
    </row>
    <row r="126" spans="2:18" hidden="1" x14ac:dyDescent="0.3">
      <c r="B126" s="93" t="s">
        <v>153</v>
      </c>
      <c r="C126" s="15" t="s">
        <v>17</v>
      </c>
      <c r="D126" s="32">
        <f>SUM(E126:P126)</f>
        <v>0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R126" s="25"/>
    </row>
    <row r="127" spans="2:18" hidden="1" x14ac:dyDescent="0.3">
      <c r="B127" s="46" t="s">
        <v>154</v>
      </c>
      <c r="C127" s="15" t="s">
        <v>25</v>
      </c>
      <c r="D127" s="32">
        <f>SUM(E127:P127)</f>
        <v>0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R127" s="25"/>
    </row>
    <row r="128" spans="2:18" hidden="1" x14ac:dyDescent="0.3">
      <c r="B128" s="46" t="s">
        <v>155</v>
      </c>
      <c r="C128" s="15" t="s">
        <v>25</v>
      </c>
      <c r="D128" s="32">
        <f>SUM(E128:P128)</f>
        <v>0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R128" s="88"/>
    </row>
    <row r="129" spans="2:18" ht="28.8" hidden="1" x14ac:dyDescent="0.3">
      <c r="B129" s="46" t="s">
        <v>156</v>
      </c>
      <c r="C129" s="15" t="s">
        <v>25</v>
      </c>
      <c r="D129" s="32">
        <f>SUM(E129:P129)</f>
        <v>0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R129" s="66"/>
    </row>
    <row r="130" spans="2:18" hidden="1" x14ac:dyDescent="0.3">
      <c r="B130" s="46" t="s">
        <v>157</v>
      </c>
      <c r="C130" s="15" t="s">
        <v>25</v>
      </c>
      <c r="D130" s="32">
        <f>SUM(E130:P130)</f>
        <v>0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R130" s="92"/>
    </row>
    <row r="131" spans="2:18" ht="14.85" hidden="1" customHeight="1" x14ac:dyDescent="0.3">
      <c r="B131" s="46" t="s">
        <v>158</v>
      </c>
      <c r="C131" s="15" t="s">
        <v>25</v>
      </c>
      <c r="D131" s="32">
        <f>SUM(E131:P131)</f>
        <v>0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R131" s="25" t="s">
        <v>159</v>
      </c>
    </row>
    <row r="132" spans="2:18" hidden="1" x14ac:dyDescent="0.3">
      <c r="B132" s="46" t="s">
        <v>160</v>
      </c>
      <c r="C132" s="15" t="s">
        <v>25</v>
      </c>
      <c r="D132" s="32">
        <f>SUM(E132:P132)</f>
        <v>0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R132" s="25" t="s">
        <v>159</v>
      </c>
    </row>
    <row r="133" spans="2:18" ht="28.8" hidden="1" x14ac:dyDescent="0.3">
      <c r="B133" s="46" t="s">
        <v>161</v>
      </c>
      <c r="C133" s="15" t="s">
        <v>25</v>
      </c>
      <c r="D133" s="32">
        <f>SUM(E133:P133)</f>
        <v>0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R133" s="25"/>
    </row>
    <row r="134" spans="2:18" hidden="1" x14ac:dyDescent="0.3">
      <c r="B134" s="67" t="s">
        <v>162</v>
      </c>
      <c r="C134" s="15" t="s">
        <v>25</v>
      </c>
      <c r="D134" s="32">
        <f>SUM(E134:P134)</f>
        <v>0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R134" s="25"/>
    </row>
    <row r="135" spans="2:18" hidden="1" x14ac:dyDescent="0.3">
      <c r="B135" s="46" t="s">
        <v>163</v>
      </c>
      <c r="C135" s="15" t="s">
        <v>25</v>
      </c>
      <c r="D135" s="32">
        <f>SUM(E135:P135)</f>
        <v>0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R135" s="25"/>
    </row>
    <row r="136" spans="2:18" hidden="1" x14ac:dyDescent="0.3">
      <c r="B136" s="46" t="s">
        <v>164</v>
      </c>
      <c r="C136" s="15" t="s">
        <v>25</v>
      </c>
      <c r="D136" s="32">
        <f>SUM(E136:P136)</f>
        <v>0</v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R136" s="25"/>
    </row>
    <row r="137" spans="2:18" hidden="1" x14ac:dyDescent="0.3">
      <c r="B137" s="46" t="s">
        <v>165</v>
      </c>
      <c r="C137" s="15" t="s">
        <v>25</v>
      </c>
      <c r="D137" s="32">
        <f>SUM(E137:P137)</f>
        <v>0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R137" s="25"/>
    </row>
    <row r="138" spans="2:18" hidden="1" x14ac:dyDescent="0.3">
      <c r="B138" s="46" t="s">
        <v>166</v>
      </c>
      <c r="C138" s="15" t="s">
        <v>25</v>
      </c>
      <c r="D138" s="32">
        <f>SUM(E138:P138)</f>
        <v>0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R138" s="25"/>
    </row>
    <row r="139" spans="2:18" hidden="1" x14ac:dyDescent="0.3">
      <c r="B139" s="46" t="s">
        <v>167</v>
      </c>
      <c r="C139" s="15" t="s">
        <v>25</v>
      </c>
      <c r="D139" s="32">
        <f>SUM(E139:P139)</f>
        <v>0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R139" s="25"/>
    </row>
    <row r="140" spans="2:18" ht="28.8" hidden="1" x14ac:dyDescent="0.3">
      <c r="B140" s="46" t="s">
        <v>168</v>
      </c>
      <c r="C140" s="15" t="s">
        <v>25</v>
      </c>
      <c r="D140" s="32">
        <f>SUM(E140:P140)</f>
        <v>0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R140" s="25"/>
    </row>
    <row r="141" spans="2:18" hidden="1" x14ac:dyDescent="0.3">
      <c r="B141" s="85" t="s">
        <v>169</v>
      </c>
      <c r="C141" s="15" t="s">
        <v>25</v>
      </c>
      <c r="D141" s="32">
        <f>SUM(E141:P141)</f>
        <v>0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R141" s="25"/>
    </row>
    <row r="142" spans="2:18" hidden="1" x14ac:dyDescent="0.3">
      <c r="B142" s="85" t="s">
        <v>170</v>
      </c>
      <c r="C142" s="15" t="s">
        <v>25</v>
      </c>
      <c r="D142" s="32">
        <f>SUM(E142:P142)</f>
        <v>0</v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R142" s="25"/>
    </row>
    <row r="143" spans="2:18" hidden="1" x14ac:dyDescent="0.3">
      <c r="B143" s="85" t="s">
        <v>171</v>
      </c>
      <c r="C143" s="15" t="s">
        <v>25</v>
      </c>
      <c r="D143" s="32">
        <f>SUM(E143:P143)</f>
        <v>0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R143" s="25"/>
    </row>
    <row r="144" spans="2:18" hidden="1" x14ac:dyDescent="0.3">
      <c r="B144" s="46" t="s">
        <v>172</v>
      </c>
      <c r="C144" s="15" t="s">
        <v>25</v>
      </c>
      <c r="D144" s="32">
        <f>SUM(E144:P144)</f>
        <v>0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R144" s="25" t="s">
        <v>173</v>
      </c>
    </row>
    <row r="145" spans="2:18" x14ac:dyDescent="0.3">
      <c r="B145" s="46" t="s">
        <v>174</v>
      </c>
      <c r="C145" s="15" t="s">
        <v>17</v>
      </c>
      <c r="D145" s="32">
        <f>SUM(E145:P145)</f>
        <v>0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R145" s="25"/>
    </row>
    <row r="146" spans="2:18" hidden="1" x14ac:dyDescent="0.3">
      <c r="B146" s="46" t="s">
        <v>175</v>
      </c>
      <c r="C146" s="15" t="s">
        <v>25</v>
      </c>
      <c r="D146" s="32">
        <f>SUM(E146:P146)</f>
        <v>0</v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R146" s="25"/>
    </row>
    <row r="147" spans="2:18" ht="19.5" hidden="1" customHeight="1" x14ac:dyDescent="0.3">
      <c r="B147" s="46" t="s">
        <v>176</v>
      </c>
      <c r="C147" s="15" t="s">
        <v>25</v>
      </c>
      <c r="D147" s="32">
        <f>SUM(E147:P147)</f>
        <v>0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R147" s="25"/>
    </row>
    <row r="148" spans="2:18" ht="19.5" hidden="1" customHeight="1" x14ac:dyDescent="0.3">
      <c r="B148" s="46" t="s">
        <v>177</v>
      </c>
      <c r="C148" s="15" t="s">
        <v>17</v>
      </c>
      <c r="D148" s="32">
        <f>SUM(E148:P148)</f>
        <v>0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R148" s="25"/>
    </row>
    <row r="149" spans="2:18" ht="23.1" hidden="1" customHeight="1" x14ac:dyDescent="0.3">
      <c r="B149" s="46" t="s">
        <v>178</v>
      </c>
      <c r="C149" s="15" t="s">
        <v>17</v>
      </c>
      <c r="D149" s="32">
        <f>SUM(E149:P149)</f>
        <v>0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R149" s="25"/>
    </row>
    <row r="150" spans="2:18" ht="23.1" hidden="1" customHeight="1" x14ac:dyDescent="0.3">
      <c r="B150" s="46" t="s">
        <v>179</v>
      </c>
      <c r="C150" s="15" t="s">
        <v>17</v>
      </c>
      <c r="D150" s="32">
        <f>SUM(E150:P150)</f>
        <v>0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R150" s="25"/>
    </row>
    <row r="151" spans="2:18" x14ac:dyDescent="0.3">
      <c r="B151" s="46" t="s">
        <v>180</v>
      </c>
      <c r="C151" s="15" t="s">
        <v>17</v>
      </c>
      <c r="D151" s="32">
        <f>SUM(E151:P151)</f>
        <v>0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R151" s="25"/>
    </row>
    <row r="152" spans="2:18" x14ac:dyDescent="0.3">
      <c r="B152" s="46" t="s">
        <v>195</v>
      </c>
      <c r="C152" s="15" t="s">
        <v>17</v>
      </c>
      <c r="D152" s="32">
        <f>SUM(E152:P152)</f>
        <v>0</v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R152" s="25"/>
    </row>
    <row r="153" spans="2:18" x14ac:dyDescent="0.3">
      <c r="B153" s="46"/>
      <c r="C153" s="15"/>
      <c r="D153" s="32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R153" s="25"/>
    </row>
    <row r="154" spans="2:18" ht="27" customHeight="1" x14ac:dyDescent="0.3">
      <c r="B154" s="26"/>
      <c r="C154" s="27"/>
      <c r="D154" s="28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R154" s="30"/>
    </row>
    <row r="158" spans="2:18" x14ac:dyDescent="0.3">
      <c r="B158" s="68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R158" s="70"/>
    </row>
    <row r="159" spans="2:18" x14ac:dyDescent="0.3">
      <c r="B159" s="71" t="s">
        <v>181</v>
      </c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R159" s="70"/>
    </row>
    <row r="160" spans="2:18" x14ac:dyDescent="0.3">
      <c r="B160" s="72" t="s">
        <v>17</v>
      </c>
      <c r="C160" s="73"/>
      <c r="D160" s="73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R160" s="70"/>
    </row>
    <row r="161" spans="2:18" x14ac:dyDescent="0.3">
      <c r="B161" s="72" t="s">
        <v>182</v>
      </c>
      <c r="C161" s="74"/>
      <c r="D161" s="74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R161" s="70"/>
    </row>
    <row r="162" spans="2:18" x14ac:dyDescent="0.3">
      <c r="B162" s="72" t="s">
        <v>183</v>
      </c>
      <c r="C162" s="75"/>
      <c r="D162" s="75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R162" s="70"/>
    </row>
    <row r="163" spans="2:18" x14ac:dyDescent="0.3">
      <c r="B163" s="72" t="s">
        <v>184</v>
      </c>
      <c r="C163" s="76"/>
      <c r="D163" s="76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R163" s="70"/>
    </row>
    <row r="164" spans="2:18" x14ac:dyDescent="0.3">
      <c r="B164" s="77" t="s">
        <v>185</v>
      </c>
      <c r="C164" s="78"/>
      <c r="D164" s="78"/>
    </row>
    <row r="165" spans="2:18" x14ac:dyDescent="0.3">
      <c r="B165" s="77" t="s">
        <v>186</v>
      </c>
      <c r="C165" s="79"/>
      <c r="D165" s="79"/>
    </row>
    <row r="166" spans="2:18" x14ac:dyDescent="0.3">
      <c r="B166" s="77" t="s">
        <v>25</v>
      </c>
      <c r="C166" s="80"/>
      <c r="D166" s="80"/>
    </row>
  </sheetData>
  <conditionalFormatting sqref="C122:D154 D5 C158:D158 C6:D120">
    <cfRule type="containsText" dxfId="76" priority="1004" operator="containsText" text="On Standby">
      <formula>NOT(ISERROR(SEARCH("On Standby",C5)))</formula>
    </cfRule>
  </conditionalFormatting>
  <conditionalFormatting sqref="C122:D154 C6:D120">
    <cfRule type="containsText" dxfId="75" priority="999" operator="containsText" text="Completed">
      <formula>NOT(ISERROR(SEARCH("Completed",C6)))</formula>
    </cfRule>
    <cfRule type="containsText" dxfId="74" priority="1000" operator="containsText" text="Cancelled">
      <formula>NOT(ISERROR(SEARCH("Cancelled",C6)))</formula>
    </cfRule>
    <cfRule type="containsText" dxfId="73" priority="1001" operator="containsText" text="Hold">
      <formula>NOT(ISERROR(SEARCH("Hold",C6)))</formula>
    </cfRule>
    <cfRule type="containsText" dxfId="72" priority="1002" operator="containsText" text="Not Yet Started">
      <formula>NOT(ISERROR(SEARCH("Not Yet Started",C6)))</formula>
    </cfRule>
    <cfRule type="containsText" dxfId="71" priority="1003" operator="containsText" text="Active">
      <formula>NOT(ISERROR(SEARCH("Active",C6)))</formula>
    </cfRule>
  </conditionalFormatting>
  <conditionalFormatting sqref="C122:D154 C6:D120">
    <cfRule type="containsText" dxfId="70" priority="998" operator="containsText" text="Not Awarded">
      <formula>NOT(ISERROR(SEARCH("Not Awarded",C6)))</formula>
    </cfRule>
  </conditionalFormatting>
  <conditionalFormatting sqref="C15:D16 C76:D76">
    <cfRule type="containsText" dxfId="69" priority="997" operator="containsText" text="On Standby">
      <formula>NOT(ISERROR(SEARCH("On Standby",C15)))</formula>
    </cfRule>
  </conditionalFormatting>
  <conditionalFormatting sqref="D5 C158:D158">
    <cfRule type="containsText" dxfId="68" priority="991" operator="containsText" text="Not Awarded">
      <formula>NOT(ISERROR(SEARCH("Not Awarded",C5)))</formula>
    </cfRule>
    <cfRule type="containsText" dxfId="67" priority="992" operator="containsText" text="Completed">
      <formula>NOT(ISERROR(SEARCH("Completed",C5)))</formula>
    </cfRule>
    <cfRule type="containsText" dxfId="66" priority="993" operator="containsText" text="Cancelled">
      <formula>NOT(ISERROR(SEARCH("Cancelled",C5)))</formula>
    </cfRule>
    <cfRule type="containsText" dxfId="65" priority="994" operator="containsText" text="Hold">
      <formula>NOT(ISERROR(SEARCH("Hold",C5)))</formula>
    </cfRule>
    <cfRule type="containsText" dxfId="64" priority="995" operator="containsText" text="Not Yet Started">
      <formula>NOT(ISERROR(SEARCH("Not Yet Started",C5)))</formula>
    </cfRule>
    <cfRule type="containsText" dxfId="63" priority="996" operator="containsText" text="Active">
      <formula>NOT(ISERROR(SEARCH("Active",C5)))</formula>
    </cfRule>
  </conditionalFormatting>
  <conditionalFormatting sqref="F15:G15">
    <cfRule type="colorScale" priority="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4:G85">
    <cfRule type="colorScale" priority="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4:G134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4:G154">
    <cfRule type="colorScale" priority="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N6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N8">
    <cfRule type="colorScale" priority="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1:N41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N49">
    <cfRule type="colorScale" priority="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8:N59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0:N60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N63 F62 H62:N62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7:N67">
    <cfRule type="colorScale" priority="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9:N70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9:N79">
    <cfRule type="colorScale" priority="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0:N80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1:N101">
    <cfRule type="colorScale" priority="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6:N106 F56:N57 F17:N40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7:N114"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N117 F102:N105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9:N119 F81:N81 F78:G78 F7:N7 F61:N61 F68:N68">
    <cfRule type="colorScale" priority="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1:N132 F118:N118 F71:N71 F47:N47 F86:N100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:H46 G62 H48 H11:H12 J11:K11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:H55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8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N15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4:N134"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4:N154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2:L72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4:L85"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1:N55 L11:N11 I44:N46 I43:J43 L43:N43 K42 I48:N48 I12:N12 J10:K10 I11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8:N78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4:N85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4:O85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P8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15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1:P41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9:P49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1:P55 O43:P46 O48:P48 O16:P16 O14:P14 O10:P12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8:P59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0:P60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7:P67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9:P7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8:P78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9:P79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0:P80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2:P83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1:P101 O107:P114 O6:P6 O16:P16 O62:P63 O66:P66 O82:P83 O14:P14 O10:P12 O43:P46 O48:P48 O51:P55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1:P101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2:P105 O115:P117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6:P106 O56:P57 O17:P4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6:P114 O6:P6 O101:P101 O14:P14 O10:P12 O43:P46 O48:P48 O62:P63 O66:P67 O82:P83 O16:P40 O51:P57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7:P114 O6:P6 O16:P16 O62:P63 O66:P66 O82:P83 O14:P14 O10:P12 O43:P46 O48:P48 O51:P55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9:P119 O81:P81 O68:P68 O61:P61 O7:P7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1:P132 O118:P118 O71:P71 O47:P47 O86:P100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4:P134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5:P153 O133:P133 O120:P120 O122:P130 O64:P65 O73:P77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4:P154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">
    <cfRule type="containsText" dxfId="62" priority="8" operator="containsText" text="On Standby">
      <formula>NOT(ISERROR(SEARCH("On Standby",R6)))</formula>
    </cfRule>
    <cfRule type="containsText" dxfId="61" priority="9" operator="containsText" text="Not Awarded">
      <formula>NOT(ISERROR(SEARCH("Not Awarded",R6)))</formula>
    </cfRule>
    <cfRule type="containsText" dxfId="60" priority="10" operator="containsText" text="Completed">
      <formula>NOT(ISERROR(SEARCH("Completed",R6)))</formula>
    </cfRule>
    <cfRule type="containsText" dxfId="59" priority="11" operator="containsText" text="Cancelled">
      <formula>NOT(ISERROR(SEARCH("Cancelled",R6)))</formula>
    </cfRule>
    <cfRule type="containsText" dxfId="58" priority="12" operator="containsText" text="Hold">
      <formula>NOT(ISERROR(SEARCH("Hold",R6)))</formula>
    </cfRule>
    <cfRule type="containsText" dxfId="57" priority="13" operator="containsText" text="Not Yet Started">
      <formula>NOT(ISERROR(SEARCH("Not Yet Started",R6)))</formula>
    </cfRule>
    <cfRule type="containsText" dxfId="56" priority="14" operator="containsText" text="Active">
      <formula>NOT(ISERROR(SEARCH("Active",R6)))</formula>
    </cfRule>
  </conditionalFormatting>
  <conditionalFormatting sqref="R101">
    <cfRule type="containsText" dxfId="55" priority="1" operator="containsText" text="On Standby">
      <formula>NOT(ISERROR(SEARCH("On Standby",R101)))</formula>
    </cfRule>
    <cfRule type="containsText" dxfId="54" priority="2" operator="containsText" text="Not Awarded">
      <formula>NOT(ISERROR(SEARCH("Not Awarded",R101)))</formula>
    </cfRule>
    <cfRule type="containsText" dxfId="53" priority="3" operator="containsText" text="Completed">
      <formula>NOT(ISERROR(SEARCH("Completed",R101)))</formula>
    </cfRule>
    <cfRule type="containsText" dxfId="52" priority="4" operator="containsText" text="Cancelled">
      <formula>NOT(ISERROR(SEARCH("Cancelled",R101)))</formula>
    </cfRule>
    <cfRule type="containsText" dxfId="51" priority="5" operator="containsText" text="Hold">
      <formula>NOT(ISERROR(SEARCH("Hold",R101)))</formula>
    </cfRule>
    <cfRule type="containsText" dxfId="50" priority="6" operator="containsText" text="Not Yet Started">
      <formula>NOT(ISERROR(SEARCH("Not Yet Started",R101)))</formula>
    </cfRule>
    <cfRule type="containsText" dxfId="49" priority="7" operator="containsText" text="Active">
      <formula>NOT(ISERROR(SEARCH("Active",R101)))</formula>
    </cfRule>
  </conditionalFormatting>
  <conditionalFormatting sqref="E78 E119 E81 E61 E68 E7">
    <cfRule type="colorScale" priority="108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 E119 E81 E61 E68 E7">
    <cfRule type="colorScale" priority="108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 E119 E61 E81 E68 E7">
    <cfRule type="colorScale" priority="108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:E153 E133 E120 E122:E130 E64:E65 E73:E77">
    <cfRule type="colorScale" priority="109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2:P154 E51:G55 I51:P55 E56:P120 E44:P50 E43:J43 L43:P43 E4:P42">
    <cfRule type="colorScale" priority="109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1:G55 F43:G46 F48:G48 F14:G14 F16:G16 F10:G12 F13:P13 F42:J42 L42:P42 F50:P50 F9:P9">
    <cfRule type="colorScale" priority="109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7:N114 F6:N6 F16:G16 F63:N63 F66:N66 F62 H62:N62 F82:N83 F14:G14 F10:G12 F43:G46 F48:G48 F51:G55 F13:P13 F42:J42 L42:P42 F50:P50 F9:P9">
    <cfRule type="colorScale" priority="109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7:N114 F6:N6 F16:G16 F101:N101 F63:N63 F66:N66 F62 H62:N62 F82:N83 F14:G14 F10:G12 F43:G46 F48:G48 F51:G55 F13:P13 F42:J42 L42:P42 F50:P50 F9:P9">
    <cfRule type="colorScale" priority="109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:H46 G62 H48 I16:N16 H14:N14 L10:N10 H10:H12 J11:K11 I10">
    <cfRule type="colorScale" priority="109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7:E114 E5:E6 E101 E16 E79:E80 E62:E63 E66 E82:E83 E134 E9:E14 E42:E46 E48 E50:E55 F5:P5">
    <cfRule type="colorScale" priority="109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 E118 E131:E132 E47 E86:E100">
    <cfRule type="colorScale" priority="109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 E118 E131:E132 E47 E86:E100">
    <cfRule type="colorScale" priority="109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 E118 E131:E132 E47 E86:E100">
    <cfRule type="colorScale" priority="109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8:N118 E71:N71 E131:N132 E47:N47 E86:N100">
    <cfRule type="colorScale" priority="109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5 I51:P55 E122:P154 E56:P120 E44:P50 E43:J43 L43:P43 E4:P42 E158:P158">
    <cfRule type="colorScale" priority="109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7:E114 E16 E5:E6 E79:E80 E62:E63 E66 E82:E83 E134 E9:E14 E42:E46 E48 E50:E55 F5:P5">
    <cfRule type="colorScale" priority="109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7:E114 E5:E6 E101 E16 E79:E80 E62:E63 E66 E82:E83 E134 E9:E14 E42:E46 E48 E50:E55 F5:P5">
    <cfRule type="colorScale" priority="109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5 I51:P55 E56:P120 E44:P50 E43:J43 L43:P43 E4:P42 E122:P154">
    <cfRule type="colorScale" priority="109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P133 E135:P153 E73:P77 E120:P120 E122:P130 E64:P65">
    <cfRule type="colorScale" priority="109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">
    <cfRule type="colorScale" priority="109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">
    <cfRule type="colorScale" priority="109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colorScale" priority="109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">
    <cfRule type="colorScale" priority="109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5:N153 F133:N133 F73:N77 F120:N120 F122:N130 F64:N65">
    <cfRule type="colorScale" priority="109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">
    <cfRule type="colorScale" priority="109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4:N85">
    <cfRule type="colorScale" priority="109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P5">
    <cfRule type="colorScale" priority="109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">
    <cfRule type="colorScale" priority="109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2:E105 E115:E117">
    <cfRule type="colorScale" priority="109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">
    <cfRule type="colorScale" priority="109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">
    <cfRule type="colorScale" priority="109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E57 E106 E17:E40">
    <cfRule type="colorScale" priority="109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E57 E106 E17:E40">
    <cfRule type="colorScale" priority="109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">
    <cfRule type="colorScale" priority="109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">
    <cfRule type="colorScale" priority="109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colorScale" priority="109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colorScale" priority="109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E14 E16 E42:E46 E48 E50:E55">
    <cfRule type="colorScale" priority="109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E59">
    <cfRule type="colorScale" priority="109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E59">
    <cfRule type="colorScale" priority="109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E59">
    <cfRule type="colorScale" priority="109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">
    <cfRule type="colorScale" priority="109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">
    <cfRule type="colorScale" priority="109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70 E67">
    <cfRule type="colorScale" priority="109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70 E67">
    <cfRule type="colorScale" priority="109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70 E67">
    <cfRule type="colorScale" priority="109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4:E85 H84:P85">
    <cfRule type="colorScale" priority="109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4:H85 P84:P85 E84:E85">
    <cfRule type="colorScale" priority="109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4:H85 P84:P85 E84:E85">
    <cfRule type="colorScale" priority="109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">
    <cfRule type="colorScale" priority="109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">
    <cfRule type="colorScale" priority="109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2:E105 E115:E117">
    <cfRule type="colorScale" priority="109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E57 E106 E17:E40">
    <cfRule type="colorScale" priority="109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7:E114 E5:E6 E16 E79:E80 E62:E63 E66 E82:E83 E134 E9:E14 E42:E46 E48 E50:E55 F5:P5">
    <cfRule type="colorScale" priority="109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5:E117 E102:E105">
    <cfRule type="colorScale" priority="109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2:E105 E115:E117">
    <cfRule type="colorScale" priority="109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:E153 E133 E120 E122:E130 E64:E65 E73:E77">
    <cfRule type="colorScale" priority="109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:E153 E133 E120 E122:E130 E64:E65 E73:E77">
    <cfRule type="colorScale" priority="109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">
    <cfRule type="colorScale" priority="109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">
    <cfRule type="colorScale" priority="109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P4">
    <cfRule type="colorScale" priority="109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N7 E78:G78 E81:N81 E119:N119 E68:N68 E61:N61">
    <cfRule type="colorScale" priority="109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N8">
    <cfRule type="colorScale" priority="109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G15">
    <cfRule type="colorScale" priority="109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N41">
    <cfRule type="colorScale" priority="109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N49">
    <cfRule type="colorScale" priority="109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N59">
    <cfRule type="colorScale" priority="109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:N60">
    <cfRule type="colorScale" priority="109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9:N79">
    <cfRule type="colorScale" priority="109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0:N80">
    <cfRule type="colorScale" priority="109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2:N105 E115:N117">
    <cfRule type="colorScale" priority="109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N6 E106:N114 E101:N101 E14:G14 E10:G12 E43:G46 E48:G48 E69:N70 E16:H16 E56:N57 E63:N63 E66:N67 E62:F62 H62:N62 E82:N83 E17:N40 E51:G55 E13:P13 E42:J42 L42:P42 E50:P50 E9:P9 E5:P5">
    <cfRule type="colorScale" priority="109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N133 E135:N153 E73:N77 E120:N120 E122:N130 E64:N65">
    <cfRule type="colorScale" priority="109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4:G134">
    <cfRule type="colorScale" priority="109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:G154">
    <cfRule type="colorScale" priority="109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5 I51:P55 E122:P154 E56:P120 E44:P50 E43:J43 L43:P43 E4:P42">
    <cfRule type="colorScale" priority="109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5 I51:P55 E56:P63 E131:P132 E78:P83 E66:P71 E86:P119 E44:P50 E43:J43 L43:P43 E4:P42 E154:P154 E134:P134">
    <cfRule type="colorScale" priority="109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151D-CB32-46B7-976E-BA066883F741}">
  <dimension ref="A1:R44"/>
  <sheetViews>
    <sheetView tabSelected="1" topLeftCell="A2" zoomScale="70" zoomScaleNormal="70" workbookViewId="0">
      <pane xSplit="4" ySplit="3" topLeftCell="F5" activePane="bottomRight" state="frozen"/>
      <selection pane="topRight" activeCell="D2" sqref="D2"/>
      <selection pane="bottomLeft" activeCell="A5" sqref="A5"/>
      <selection pane="bottomRight" activeCell="L41" sqref="L41"/>
    </sheetView>
  </sheetViews>
  <sheetFormatPr defaultColWidth="8.44140625" defaultRowHeight="14.4" x14ac:dyDescent="0.3"/>
  <cols>
    <col min="1" max="1" width="8.44140625" style="3"/>
    <col min="2" max="2" width="46.44140625" style="81" customWidth="1"/>
    <col min="3" max="3" width="14.6640625" style="48" customWidth="1"/>
    <col min="4" max="4" width="7.44140625" style="48" customWidth="1"/>
    <col min="5" max="5" width="6.44140625" style="48" customWidth="1"/>
    <col min="6" max="6" width="6.5546875" style="48" customWidth="1"/>
    <col min="7" max="15" width="6.44140625" style="48" customWidth="1"/>
    <col min="16" max="16" width="6" style="48" customWidth="1"/>
    <col min="17" max="17" width="2.5546875" style="3" customWidth="1"/>
    <col min="18" max="18" width="66.44140625" style="3" customWidth="1"/>
    <col min="19" max="16384" width="8.44140625" style="3"/>
  </cols>
  <sheetData>
    <row r="1" spans="1:18" ht="15" thickBo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4"/>
    </row>
    <row r="2" spans="1:18" ht="26.4" thickBot="1" x14ac:dyDescent="0.35">
      <c r="B2" s="108" t="s">
        <v>197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5"/>
    </row>
    <row r="3" spans="1:18" ht="57" customHeight="1" thickBot="1" x14ac:dyDescent="0.35">
      <c r="B3" s="6"/>
      <c r="C3" s="7" t="s">
        <v>1</v>
      </c>
      <c r="D3" s="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202</v>
      </c>
    </row>
    <row r="4" spans="1:18" ht="23.4" customHeight="1" x14ac:dyDescent="0.3">
      <c r="B4" s="109" t="s">
        <v>199</v>
      </c>
      <c r="C4" s="11"/>
      <c r="D4" s="12"/>
      <c r="E4" s="13">
        <f>SUM(E5:E32)</f>
        <v>0</v>
      </c>
      <c r="F4" s="13">
        <f>SUM(F5:F32)</f>
        <v>0</v>
      </c>
      <c r="G4" s="13">
        <f>SUM(G5:G32)</f>
        <v>0</v>
      </c>
      <c r="H4" s="13">
        <f>SUM(H5:H32)</f>
        <v>0</v>
      </c>
      <c r="I4" s="13">
        <f>SUM(I5:I32)</f>
        <v>0.2</v>
      </c>
      <c r="J4" s="13">
        <f>SUM(J5:J32)</f>
        <v>0</v>
      </c>
      <c r="K4" s="13">
        <f>SUM(K5:K32)</f>
        <v>0</v>
      </c>
      <c r="L4" s="13">
        <f>SUM(L5:L32)</f>
        <v>0</v>
      </c>
      <c r="M4" s="13">
        <f>SUM(M5:M32)</f>
        <v>0</v>
      </c>
      <c r="N4" s="13">
        <f>SUM(N5:N32)</f>
        <v>0</v>
      </c>
      <c r="O4" s="13">
        <f>SUM(O5:O32)</f>
        <v>0</v>
      </c>
      <c r="P4" s="13">
        <f>SUM(P5:P32)</f>
        <v>0.1</v>
      </c>
      <c r="R4" s="100"/>
    </row>
    <row r="5" spans="1:18" ht="19.8" customHeight="1" x14ac:dyDescent="0.3">
      <c r="B5" s="110" t="s">
        <v>15</v>
      </c>
      <c r="C5" s="14"/>
      <c r="D5" s="16"/>
      <c r="E5" s="17"/>
      <c r="F5" s="17"/>
      <c r="G5" s="17"/>
      <c r="H5" s="17"/>
      <c r="I5" s="17">
        <v>0.2</v>
      </c>
      <c r="J5" s="17"/>
      <c r="K5" s="17"/>
      <c r="L5" s="17"/>
      <c r="M5" s="17"/>
      <c r="N5" s="17"/>
      <c r="O5" s="17"/>
      <c r="P5" s="17">
        <v>0.1</v>
      </c>
      <c r="Q5" s="81"/>
      <c r="R5" s="19"/>
    </row>
    <row r="6" spans="1:18" ht="15.6" customHeight="1" x14ac:dyDescent="0.3">
      <c r="A6" s="111" t="s">
        <v>201</v>
      </c>
      <c r="B6" s="20" t="s">
        <v>198</v>
      </c>
      <c r="C6" s="21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R6" s="21"/>
    </row>
    <row r="7" spans="1:18" ht="19.8" customHeight="1" x14ac:dyDescent="0.3">
      <c r="B7" s="26" t="s">
        <v>200</v>
      </c>
      <c r="C7" s="27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R7" s="30"/>
    </row>
    <row r="8" spans="1:18" x14ac:dyDescent="0.3">
      <c r="B8" s="14" t="s">
        <v>26</v>
      </c>
      <c r="C8" s="73" t="s">
        <v>17</v>
      </c>
      <c r="D8" s="32">
        <f>SUM(E8:P8)</f>
        <v>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R8" s="25"/>
    </row>
    <row r="9" spans="1:18" x14ac:dyDescent="0.3">
      <c r="B9" s="35" t="s">
        <v>27</v>
      </c>
      <c r="C9" s="73" t="s">
        <v>182</v>
      </c>
      <c r="D9" s="32">
        <f>SUM(E9:P9)</f>
        <v>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R9" s="25"/>
    </row>
    <row r="10" spans="1:18" hidden="1" x14ac:dyDescent="0.3">
      <c r="B10" s="36" t="s">
        <v>28</v>
      </c>
      <c r="C10" s="73" t="s">
        <v>182</v>
      </c>
      <c r="D10" s="32">
        <f>SUM(E10:P10)</f>
        <v>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R10" s="25"/>
    </row>
    <row r="11" spans="1:18" hidden="1" x14ac:dyDescent="0.3">
      <c r="B11" s="36" t="s">
        <v>29</v>
      </c>
      <c r="C11" s="73" t="s">
        <v>182</v>
      </c>
      <c r="D11" s="32">
        <f>SUM(E11:P11)</f>
        <v>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R11" s="25"/>
    </row>
    <row r="12" spans="1:18" hidden="1" x14ac:dyDescent="0.3">
      <c r="B12" s="36" t="s">
        <v>31</v>
      </c>
      <c r="C12" s="73" t="s">
        <v>182</v>
      </c>
      <c r="D12" s="32">
        <f>SUM(E12:P12)</f>
        <v>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R12" s="25"/>
    </row>
    <row r="13" spans="1:18" hidden="1" x14ac:dyDescent="0.3">
      <c r="B13" s="36" t="s">
        <v>32</v>
      </c>
      <c r="C13" s="73" t="s">
        <v>182</v>
      </c>
      <c r="D13" s="32">
        <f>SUM(E13:P13)</f>
        <v>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R13" s="25"/>
    </row>
    <row r="14" spans="1:18" hidden="1" x14ac:dyDescent="0.3">
      <c r="B14" s="35" t="s">
        <v>33</v>
      </c>
      <c r="C14" s="73" t="s">
        <v>182</v>
      </c>
      <c r="D14" s="32">
        <f>SUM(E14:P14)</f>
        <v>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R14" s="25"/>
    </row>
    <row r="15" spans="1:18" hidden="1" x14ac:dyDescent="0.3">
      <c r="B15" s="35" t="s">
        <v>34</v>
      </c>
      <c r="C15" s="73" t="s">
        <v>182</v>
      </c>
      <c r="D15" s="32">
        <f>SUM(E15:P15)</f>
        <v>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R15" s="25"/>
    </row>
    <row r="16" spans="1:18" hidden="1" x14ac:dyDescent="0.3">
      <c r="B16" s="35" t="s">
        <v>35</v>
      </c>
      <c r="C16" s="73" t="s">
        <v>182</v>
      </c>
      <c r="D16" s="32">
        <f>SUM(E16:P16)</f>
        <v>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R16" s="25"/>
    </row>
    <row r="17" spans="2:18" hidden="1" x14ac:dyDescent="0.3">
      <c r="B17" s="35" t="s">
        <v>36</v>
      </c>
      <c r="C17" s="73" t="s">
        <v>182</v>
      </c>
      <c r="D17" s="32">
        <f>SUM(E17:P17)</f>
        <v>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R17" s="25"/>
    </row>
    <row r="18" spans="2:18" hidden="1" x14ac:dyDescent="0.3">
      <c r="B18" s="35" t="s">
        <v>37</v>
      </c>
      <c r="C18" s="73" t="s">
        <v>182</v>
      </c>
      <c r="D18" s="32">
        <f>SUM(E18:P18)</f>
        <v>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R18" s="25"/>
    </row>
    <row r="19" spans="2:18" hidden="1" x14ac:dyDescent="0.3">
      <c r="B19" s="35" t="s">
        <v>38</v>
      </c>
      <c r="C19" s="73" t="s">
        <v>182</v>
      </c>
      <c r="D19" s="32">
        <f>SUM(E19:P19)</f>
        <v>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R19" s="25"/>
    </row>
    <row r="20" spans="2:18" hidden="1" x14ac:dyDescent="0.3">
      <c r="B20" s="35" t="s">
        <v>39</v>
      </c>
      <c r="C20" s="73" t="s">
        <v>182</v>
      </c>
      <c r="D20" s="32">
        <f>SUM(E20:P20)</f>
        <v>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R20" s="25"/>
    </row>
    <row r="21" spans="2:18" hidden="1" x14ac:dyDescent="0.3">
      <c r="B21" s="35" t="s">
        <v>40</v>
      </c>
      <c r="C21" s="73" t="s">
        <v>182</v>
      </c>
      <c r="D21" s="32">
        <f>SUM(E21:P21)</f>
        <v>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R21" s="25"/>
    </row>
    <row r="22" spans="2:18" hidden="1" x14ac:dyDescent="0.3">
      <c r="B22" s="35" t="s">
        <v>41</v>
      </c>
      <c r="C22" s="73" t="s">
        <v>182</v>
      </c>
      <c r="D22" s="32">
        <f>SUM(E22:P22)</f>
        <v>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R22" s="25"/>
    </row>
    <row r="23" spans="2:18" x14ac:dyDescent="0.3">
      <c r="B23" s="35" t="s">
        <v>42</v>
      </c>
      <c r="C23" s="73" t="s">
        <v>182</v>
      </c>
      <c r="D23" s="32">
        <f>SUM(E23:P23)</f>
        <v>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R23" s="96"/>
    </row>
    <row r="24" spans="2:18" x14ac:dyDescent="0.3">
      <c r="B24" s="35" t="s">
        <v>44</v>
      </c>
      <c r="C24" s="73" t="s">
        <v>182</v>
      </c>
      <c r="D24" s="32">
        <f>SUM(E24:P24)</f>
        <v>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R24" s="96"/>
    </row>
    <row r="25" spans="2:18" x14ac:dyDescent="0.3">
      <c r="B25" s="35" t="s">
        <v>45</v>
      </c>
      <c r="C25" s="73" t="s">
        <v>183</v>
      </c>
      <c r="D25" s="32">
        <f>SUM(E25:P25)</f>
        <v>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R25" s="96"/>
    </row>
    <row r="26" spans="2:18" x14ac:dyDescent="0.3">
      <c r="B26" s="35" t="s">
        <v>46</v>
      </c>
      <c r="C26" s="73" t="s">
        <v>182</v>
      </c>
      <c r="D26" s="32">
        <f>SUM(E26:P26)</f>
        <v>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R26" s="96"/>
    </row>
    <row r="27" spans="2:18" x14ac:dyDescent="0.3">
      <c r="B27" s="35" t="s">
        <v>47</v>
      </c>
      <c r="C27" s="73" t="s">
        <v>182</v>
      </c>
      <c r="D27" s="32">
        <f>SUM(E27:P27)</f>
        <v>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R27" s="96"/>
    </row>
    <row r="28" spans="2:18" x14ac:dyDescent="0.3">
      <c r="B28" s="35" t="s">
        <v>48</v>
      </c>
      <c r="C28" s="73" t="s">
        <v>182</v>
      </c>
      <c r="D28" s="32">
        <f>SUM(E28:P28)</f>
        <v>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R28" s="96"/>
    </row>
    <row r="29" spans="2:18" x14ac:dyDescent="0.3">
      <c r="B29" s="35" t="s">
        <v>49</v>
      </c>
      <c r="C29" s="73" t="s">
        <v>182</v>
      </c>
      <c r="D29" s="32">
        <f>SUM(E29:P29)</f>
        <v>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R29" s="96"/>
    </row>
    <row r="30" spans="2:18" x14ac:dyDescent="0.3">
      <c r="B30" s="35" t="s">
        <v>50</v>
      </c>
      <c r="C30" s="73" t="s">
        <v>182</v>
      </c>
      <c r="D30" s="32">
        <f>SUM(E30:P30)</f>
        <v>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R30" s="96"/>
    </row>
    <row r="31" spans="2:18" x14ac:dyDescent="0.3">
      <c r="B31" s="35" t="s">
        <v>51</v>
      </c>
      <c r="C31" s="73" t="s">
        <v>182</v>
      </c>
      <c r="D31" s="32">
        <f>SUM(E31:P31)</f>
        <v>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R31" s="96"/>
    </row>
    <row r="32" spans="2:18" x14ac:dyDescent="0.3">
      <c r="B32" s="35"/>
      <c r="C32" s="73" t="s">
        <v>182</v>
      </c>
      <c r="D32" s="2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R32" s="25"/>
    </row>
    <row r="36" spans="2:18" x14ac:dyDescent="0.3">
      <c r="B36" s="68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R36" s="70"/>
    </row>
    <row r="37" spans="2:18" x14ac:dyDescent="0.3">
      <c r="B37" s="71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R37" s="70"/>
    </row>
    <row r="38" spans="2:18" x14ac:dyDescent="0.3">
      <c r="B38" s="3"/>
      <c r="C38" s="112" t="s">
        <v>17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R38" s="70"/>
    </row>
    <row r="39" spans="2:18" x14ac:dyDescent="0.3">
      <c r="B39" s="3"/>
      <c r="C39" s="112" t="s">
        <v>182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R39" s="70"/>
    </row>
    <row r="40" spans="2:18" x14ac:dyDescent="0.3">
      <c r="B40" s="3"/>
      <c r="C40" s="112" t="s">
        <v>183</v>
      </c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R40" s="70"/>
    </row>
    <row r="41" spans="2:18" x14ac:dyDescent="0.3">
      <c r="B41" s="3"/>
      <c r="C41" s="112" t="s">
        <v>184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R41" s="70"/>
    </row>
    <row r="42" spans="2:18" x14ac:dyDescent="0.3">
      <c r="B42" s="3"/>
      <c r="C42" s="113" t="s">
        <v>185</v>
      </c>
    </row>
    <row r="43" spans="2:18" x14ac:dyDescent="0.3">
      <c r="B43" s="3"/>
      <c r="C43" s="113" t="s">
        <v>186</v>
      </c>
    </row>
    <row r="44" spans="2:18" x14ac:dyDescent="0.3">
      <c r="B44" s="3"/>
      <c r="C44" s="112" t="s">
        <v>25</v>
      </c>
    </row>
  </sheetData>
  <conditionalFormatting sqref="D5 C36:D36 D8:D32 C6:D7">
    <cfRule type="containsText" dxfId="48" priority="198" operator="containsText" text="On Standby">
      <formula>NOT(ISERROR(SEARCH("On Standby",C5)))</formula>
    </cfRule>
  </conditionalFormatting>
  <conditionalFormatting sqref="D8:D32 C6:D7">
    <cfRule type="containsText" dxfId="47" priority="193" operator="containsText" text="Completed">
      <formula>NOT(ISERROR(SEARCH("Completed",C6)))</formula>
    </cfRule>
    <cfRule type="containsText" dxfId="46" priority="194" operator="containsText" text="Cancelled">
      <formula>NOT(ISERROR(SEARCH("Cancelled",C6)))</formula>
    </cfRule>
    <cfRule type="containsText" dxfId="45" priority="195" operator="containsText" text="Hold">
      <formula>NOT(ISERROR(SEARCH("Hold",C6)))</formula>
    </cfRule>
    <cfRule type="containsText" dxfId="44" priority="196" operator="containsText" text="Not Yet Started">
      <formula>NOT(ISERROR(SEARCH("Not Yet Started",C6)))</formula>
    </cfRule>
    <cfRule type="containsText" dxfId="43" priority="197" operator="containsText" text="Active">
      <formula>NOT(ISERROR(SEARCH("Active",C6)))</formula>
    </cfRule>
  </conditionalFormatting>
  <conditionalFormatting sqref="D8:D32 C6:D7">
    <cfRule type="containsText" dxfId="42" priority="192" operator="containsText" text="Not Awarded">
      <formula>NOT(ISERROR(SEARCH("Not Awarded",C6)))</formula>
    </cfRule>
  </conditionalFormatting>
  <conditionalFormatting sqref="C7:D7 D8">
    <cfRule type="containsText" dxfId="41" priority="191" operator="containsText" text="On Standby">
      <formula>NOT(ISERROR(SEARCH("On Standby",C7)))</formula>
    </cfRule>
  </conditionalFormatting>
  <conditionalFormatting sqref="D5 C36:D36">
    <cfRule type="containsText" dxfId="40" priority="185" operator="containsText" text="Not Awarded">
      <formula>NOT(ISERROR(SEARCH("Not Awarded",C5)))</formula>
    </cfRule>
    <cfRule type="containsText" dxfId="39" priority="186" operator="containsText" text="Completed">
      <formula>NOT(ISERROR(SEARCH("Completed",C5)))</formula>
    </cfRule>
    <cfRule type="containsText" dxfId="38" priority="187" operator="containsText" text="Cancelled">
      <formula>NOT(ISERROR(SEARCH("Cancelled",C5)))</formula>
    </cfRule>
    <cfRule type="containsText" dxfId="37" priority="188" operator="containsText" text="Hold">
      <formula>NOT(ISERROR(SEARCH("Hold",C5)))</formula>
    </cfRule>
    <cfRule type="containsText" dxfId="36" priority="189" operator="containsText" text="Not Yet Started">
      <formula>NOT(ISERROR(SEARCH("Not Yet Started",C5)))</formula>
    </cfRule>
    <cfRule type="containsText" dxfId="35" priority="190" operator="containsText" text="Active">
      <formula>NOT(ISERROR(SEARCH("Active",C5)))</formula>
    </cfRule>
  </conditionalFormatting>
  <conditionalFormatting sqref="F7:G7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N6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N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P7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">
    <cfRule type="containsText" dxfId="34" priority="96" operator="containsText" text="On Standby">
      <formula>NOT(ISERROR(SEARCH("On Standby",R6)))</formula>
    </cfRule>
    <cfRule type="containsText" dxfId="33" priority="97" operator="containsText" text="Not Awarded">
      <formula>NOT(ISERROR(SEARCH("Not Awarded",R6)))</formula>
    </cfRule>
    <cfRule type="containsText" dxfId="32" priority="98" operator="containsText" text="Completed">
      <formula>NOT(ISERROR(SEARCH("Completed",R6)))</formula>
    </cfRule>
    <cfRule type="containsText" dxfId="31" priority="99" operator="containsText" text="Cancelled">
      <formula>NOT(ISERROR(SEARCH("Cancelled",R6)))</formula>
    </cfRule>
    <cfRule type="containsText" dxfId="30" priority="100" operator="containsText" text="Hold">
      <formula>NOT(ISERROR(SEARCH("Hold",R6)))</formula>
    </cfRule>
    <cfRule type="containsText" dxfId="29" priority="101" operator="containsText" text="Not Yet Started">
      <formula>NOT(ISERROR(SEARCH("Not Yet Started",R6)))</formula>
    </cfRule>
    <cfRule type="containsText" dxfId="28" priority="102" operator="containsText" text="Active">
      <formula>NOT(ISERROR(SEARCH("Active",R6)))</formula>
    </cfRule>
  </conditionalFormatting>
  <conditionalFormatting sqref="E36:P36 E4:P3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P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P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N32">
    <cfRule type="colorScale" priority="109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P8">
    <cfRule type="colorScale" priority="109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P8 O6:P6">
    <cfRule type="colorScale" priority="109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P32">
    <cfRule type="colorScale" priority="109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P32 O6:P6">
    <cfRule type="colorScale" priority="109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P8">
    <cfRule type="colorScale" priority="109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G8">
    <cfRule type="colorScale" priority="109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G8 F6:N6">
    <cfRule type="colorScale" priority="109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G8">
    <cfRule type="colorScale" priority="109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N8">
    <cfRule type="colorScale" priority="109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6 E8 F5:P5">
    <cfRule type="colorScale" priority="109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E32">
    <cfRule type="colorScale" priority="109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colorScale" priority="109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H8 E6:N6 E9:N32 E5:P5">
    <cfRule type="colorScale" priority="109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P32">
    <cfRule type="colorScale" priority="109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C32">
    <cfRule type="cellIs" dxfId="27" priority="8" operator="equal">
      <formula>"Hold"</formula>
    </cfRule>
    <cfRule type="cellIs" dxfId="26" priority="7" operator="equal">
      <formula>"Active"</formula>
    </cfRule>
    <cfRule type="cellIs" dxfId="25" priority="6" operator="equal">
      <formula>"Not Yet Started"</formula>
    </cfRule>
    <cfRule type="cellIs" dxfId="24" priority="5" operator="equal">
      <formula>"Cancelled"</formula>
    </cfRule>
    <cfRule type="cellIs" dxfId="23" priority="4" operator="equal">
      <formula>"Completed"</formula>
    </cfRule>
    <cfRule type="cellIs" dxfId="22" priority="3" operator="equal">
      <formula>"Not Awarded"</formula>
    </cfRule>
    <cfRule type="cellIs" dxfId="21" priority="2" operator="equal">
      <formula>"On Standby"</formula>
    </cfRule>
  </conditionalFormatting>
  <dataValidations disablePrompts="1" count="1">
    <dataValidation type="list" allowBlank="1" showInputMessage="1" showErrorMessage="1" sqref="C38:C44 C8:C32" xr:uid="{5A965D2F-4111-446E-8169-66BD011A6FEB}">
      <formula1>$C$38:$C$44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C6D514259B742B0A00A8EA354BC6D" ma:contentTypeVersion="19" ma:contentTypeDescription="Create a new document." ma:contentTypeScope="" ma:versionID="d123547f2bce63d52408a355b1dd1c6a">
  <xsd:schema xmlns:xsd="http://www.w3.org/2001/XMLSchema" xmlns:xs="http://www.w3.org/2001/XMLSchema" xmlns:p="http://schemas.microsoft.com/office/2006/metadata/properties" xmlns:ns3="a7584c8e-d2c2-4d0e-af83-011ba6d4aa3c" xmlns:ns4="b21a84c9-0415-49ac-9fb5-2b1281b86188" targetNamespace="http://schemas.microsoft.com/office/2006/metadata/properties" ma:root="true" ma:fieldsID="b955cf2a5c521d6131c2c1d672b64ee2" ns3:_="" ns4:_="">
    <xsd:import namespace="a7584c8e-d2c2-4d0e-af83-011ba6d4aa3c"/>
    <xsd:import namespace="b21a84c9-0415-49ac-9fb5-2b1281b861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84c8e-d2c2-4d0e-af83-011ba6d4a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a84c9-0415-49ac-9fb5-2b1281b861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584c8e-d2c2-4d0e-af83-011ba6d4aa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6C36B-5E7F-4228-AEFE-446E97163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584c8e-d2c2-4d0e-af83-011ba6d4aa3c"/>
    <ds:schemaRef ds:uri="b21a84c9-0415-49ac-9fb5-2b1281b861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AFFE7F-84C3-430C-ACFC-D9558412A7D8}">
  <ds:schemaRefs>
    <ds:schemaRef ds:uri="http://schemas.microsoft.com/office/2006/metadata/properties"/>
    <ds:schemaRef ds:uri="http://schemas.microsoft.com/office/infopath/2007/PartnerControls"/>
    <ds:schemaRef ds:uri="a7584c8e-d2c2-4d0e-af83-011ba6d4aa3c"/>
  </ds:schemaRefs>
</ds:datastoreItem>
</file>

<file path=customXml/itemProps3.xml><?xml version="1.0" encoding="utf-8"?>
<ds:datastoreItem xmlns:ds="http://schemas.openxmlformats.org/officeDocument/2006/customXml" ds:itemID="{8782B8C9-6DFF-47FA-BCBF-C4804B65B6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Tan, Sofiewanty</dc:creator>
  <cp:keywords/>
  <dc:description/>
  <cp:lastModifiedBy>Montevirgen, Herbert Julius</cp:lastModifiedBy>
  <cp:revision/>
  <dcterms:created xsi:type="dcterms:W3CDTF">2024-08-02T01:23:30Z</dcterms:created>
  <dcterms:modified xsi:type="dcterms:W3CDTF">2026-01-03T18:55:02Z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0x010100D35C6D514259B742B0A00A8EA354BC6D</vt:lpwstr>
  </property>
</Properties>
</file>